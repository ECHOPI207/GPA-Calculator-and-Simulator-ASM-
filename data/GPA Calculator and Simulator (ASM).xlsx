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79B244FD-0123-4254-BB3C-456CA7C61CEB}" xr6:coauthVersionLast="47" xr6:coauthVersionMax="47" xr10:uidLastSave="{00000000-0000-0000-0000-000000000000}"/>
  <workbookProtection workbookAlgorithmName="SHA-512" workbookHashValue="zcuPGYpaGLyJRQVvmDhwhQ95UzpBRiqN+0VNSQVtxPkTEoLqGxuVXbB18t7h6RSdjOPqq5ifQD+kVdja5r4dtA==" workbookSaltValue="r8JVSFh4Om8bXJ7AwBXL1w==" workbookSpinCount="100000" lockStructure="1"/>
  <bookViews>
    <workbookView xWindow="-108" yWindow="-108" windowWidth="21336" windowHeight="11376" xr2:uid="{00000000-000D-0000-FFFF-FFFF00000000}"/>
  </bookViews>
  <sheets>
    <sheet name="GPA Calculator &amp; Simulator (4Y)" sheetId="5" r:id="rId1"/>
    <sheet name="GPA Calculator &amp; Simulator (5Y)" sheetId="3" r:id="rId2"/>
    <sheet name="GradingTable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9" i="3" l="1"/>
  <c r="O66" i="3"/>
  <c r="O52" i="3"/>
  <c r="O49" i="3"/>
  <c r="O35" i="3"/>
  <c r="O32" i="3"/>
  <c r="O18" i="3"/>
  <c r="O15" i="3"/>
  <c r="O69" i="5"/>
  <c r="O66" i="5"/>
  <c r="O52" i="5"/>
  <c r="O49" i="5"/>
  <c r="L88" i="3"/>
  <c r="M88" i="3"/>
  <c r="L87" i="3"/>
  <c r="M87" i="3"/>
  <c r="L86" i="3"/>
  <c r="M86" i="3"/>
  <c r="L85" i="3"/>
  <c r="M85" i="3"/>
  <c r="L84" i="3"/>
  <c r="M84" i="3"/>
  <c r="L83" i="3"/>
  <c r="M83" i="3"/>
  <c r="L82" i="3"/>
  <c r="M82" i="3"/>
  <c r="L81" i="3"/>
  <c r="M81" i="3"/>
  <c r="L80" i="3"/>
  <c r="M80" i="3"/>
  <c r="F88" i="3"/>
  <c r="G88" i="3"/>
  <c r="F87" i="3"/>
  <c r="G87" i="3"/>
  <c r="F86" i="3"/>
  <c r="G86" i="3"/>
  <c r="F85" i="3"/>
  <c r="G85" i="3"/>
  <c r="F84" i="3"/>
  <c r="G84" i="3"/>
  <c r="F83" i="3"/>
  <c r="G83" i="3"/>
  <c r="F82" i="3"/>
  <c r="G82" i="3"/>
  <c r="F81" i="3"/>
  <c r="G81" i="3"/>
  <c r="G80" i="3"/>
  <c r="F80" i="3"/>
  <c r="L71" i="3"/>
  <c r="M71" i="3"/>
  <c r="L70" i="3"/>
  <c r="M70" i="3"/>
  <c r="L69" i="3"/>
  <c r="M69" i="3"/>
  <c r="L68" i="3"/>
  <c r="M68" i="3"/>
  <c r="L67" i="3"/>
  <c r="M67" i="3"/>
  <c r="L66" i="3"/>
  <c r="M66" i="3"/>
  <c r="L65" i="3"/>
  <c r="M65" i="3"/>
  <c r="L64" i="3"/>
  <c r="M64" i="3"/>
  <c r="L63" i="3"/>
  <c r="M63" i="3"/>
  <c r="F71" i="3"/>
  <c r="G71" i="3"/>
  <c r="F70" i="3"/>
  <c r="G70" i="3"/>
  <c r="F69" i="3"/>
  <c r="G69" i="3"/>
  <c r="F68" i="3"/>
  <c r="G68" i="3"/>
  <c r="F67" i="3"/>
  <c r="G67" i="3"/>
  <c r="F66" i="3"/>
  <c r="G66" i="3"/>
  <c r="F65" i="3"/>
  <c r="G65" i="3"/>
  <c r="F64" i="3"/>
  <c r="G64" i="3"/>
  <c r="F63" i="3"/>
  <c r="G63" i="3"/>
  <c r="L54" i="3"/>
  <c r="M54" i="3"/>
  <c r="L53" i="3"/>
  <c r="M53" i="3"/>
  <c r="L52" i="3"/>
  <c r="M52" i="3"/>
  <c r="L51" i="3"/>
  <c r="M51" i="3"/>
  <c r="L50" i="3"/>
  <c r="M50" i="3"/>
  <c r="L49" i="3"/>
  <c r="M49" i="3"/>
  <c r="L48" i="3"/>
  <c r="M48" i="3"/>
  <c r="L47" i="3"/>
  <c r="M47" i="3"/>
  <c r="L46" i="3"/>
  <c r="M46" i="3"/>
  <c r="G54" i="3"/>
  <c r="F54" i="3"/>
  <c r="F53" i="3"/>
  <c r="G53" i="3"/>
  <c r="F52" i="3"/>
  <c r="G52" i="3"/>
  <c r="F51" i="3"/>
  <c r="G51" i="3"/>
  <c r="G50" i="3"/>
  <c r="F50" i="3"/>
  <c r="F49" i="3"/>
  <c r="G49" i="3"/>
  <c r="F48" i="3"/>
  <c r="G48" i="3"/>
  <c r="F47" i="3"/>
  <c r="G47" i="3"/>
  <c r="G46" i="3"/>
  <c r="F46" i="3"/>
  <c r="L37" i="3"/>
  <c r="M37" i="3"/>
  <c r="L36" i="3"/>
  <c r="M36" i="3"/>
  <c r="L35" i="3"/>
  <c r="M35" i="3"/>
  <c r="L34" i="3"/>
  <c r="M34" i="3"/>
  <c r="L33" i="3"/>
  <c r="M33" i="3"/>
  <c r="L32" i="3"/>
  <c r="M32" i="3"/>
  <c r="L31" i="3"/>
  <c r="M31" i="3"/>
  <c r="L30" i="3"/>
  <c r="M30" i="3"/>
  <c r="L29" i="3"/>
  <c r="M29" i="3"/>
  <c r="L13" i="3"/>
  <c r="M13" i="3"/>
  <c r="L14" i="3"/>
  <c r="M14" i="3"/>
  <c r="L15" i="3"/>
  <c r="M15" i="3"/>
  <c r="L16" i="3"/>
  <c r="M16" i="3"/>
  <c r="L17" i="3"/>
  <c r="M17" i="3"/>
  <c r="L18" i="3"/>
  <c r="M18" i="3"/>
  <c r="L19" i="3"/>
  <c r="M19" i="3"/>
  <c r="L20" i="3"/>
  <c r="M20" i="3"/>
  <c r="L71" i="5"/>
  <c r="M71" i="5"/>
  <c r="L70" i="5"/>
  <c r="M70" i="5"/>
  <c r="L69" i="5"/>
  <c r="M69" i="5"/>
  <c r="L68" i="5"/>
  <c r="M68" i="5"/>
  <c r="L67" i="5"/>
  <c r="M67" i="5"/>
  <c r="L66" i="5"/>
  <c r="M66" i="5"/>
  <c r="L65" i="5"/>
  <c r="M65" i="5"/>
  <c r="L64" i="5"/>
  <c r="M64" i="5"/>
  <c r="L63" i="5"/>
  <c r="M63" i="5"/>
  <c r="F71" i="5"/>
  <c r="G71" i="5"/>
  <c r="F70" i="5"/>
  <c r="G70" i="5"/>
  <c r="F69" i="5"/>
  <c r="G69" i="5"/>
  <c r="F68" i="5"/>
  <c r="G68" i="5"/>
  <c r="F67" i="5"/>
  <c r="G67" i="5"/>
  <c r="F66" i="5"/>
  <c r="G66" i="5"/>
  <c r="F65" i="5"/>
  <c r="G65" i="5"/>
  <c r="F64" i="5"/>
  <c r="G64" i="5"/>
  <c r="F63" i="5"/>
  <c r="G63" i="5"/>
  <c r="L54" i="5"/>
  <c r="M54" i="5"/>
  <c r="L53" i="5"/>
  <c r="M53" i="5"/>
  <c r="L52" i="5"/>
  <c r="M52" i="5"/>
  <c r="L51" i="5"/>
  <c r="M51" i="5"/>
  <c r="L50" i="5"/>
  <c r="M50" i="5"/>
  <c r="L49" i="5"/>
  <c r="M49" i="5"/>
  <c r="L48" i="5"/>
  <c r="M48" i="5"/>
  <c r="L47" i="5"/>
  <c r="M47" i="5"/>
  <c r="L46" i="5"/>
  <c r="M46" i="5"/>
  <c r="F54" i="5"/>
  <c r="G54" i="5"/>
  <c r="F53" i="5"/>
  <c r="G53" i="5"/>
  <c r="F52" i="5"/>
  <c r="G52" i="5"/>
  <c r="F51" i="5"/>
  <c r="G51" i="5"/>
  <c r="F50" i="5"/>
  <c r="G50" i="5"/>
  <c r="F49" i="5"/>
  <c r="G49" i="5"/>
  <c r="F48" i="5"/>
  <c r="G48" i="5"/>
  <c r="F47" i="5"/>
  <c r="G47" i="5"/>
  <c r="F46" i="5"/>
  <c r="G46" i="5"/>
  <c r="L37" i="5"/>
  <c r="M37" i="5"/>
  <c r="L36" i="5"/>
  <c r="M36" i="5"/>
  <c r="L35" i="5"/>
  <c r="M35" i="5"/>
  <c r="L34" i="5"/>
  <c r="M34" i="5"/>
  <c r="L33" i="5"/>
  <c r="M33" i="5"/>
  <c r="L32" i="5"/>
  <c r="M32" i="5"/>
  <c r="L31" i="5"/>
  <c r="M31" i="5"/>
  <c r="L30" i="5"/>
  <c r="M30" i="5"/>
  <c r="L29" i="5"/>
  <c r="M29" i="5"/>
  <c r="F37" i="5"/>
  <c r="G37" i="5"/>
  <c r="F36" i="5"/>
  <c r="G36" i="5"/>
  <c r="F35" i="5"/>
  <c r="G35" i="5"/>
  <c r="F34" i="5"/>
  <c r="G34" i="5"/>
  <c r="F33" i="5"/>
  <c r="G33" i="5"/>
  <c r="F32" i="5"/>
  <c r="G32" i="5"/>
  <c r="F31" i="5"/>
  <c r="G31" i="5"/>
  <c r="F30" i="5"/>
  <c r="G30" i="5"/>
  <c r="F29" i="5"/>
  <c r="G29" i="5"/>
  <c r="L20" i="5"/>
  <c r="M20" i="5"/>
  <c r="L19" i="5"/>
  <c r="M19" i="5"/>
  <c r="L18" i="5"/>
  <c r="M18" i="5"/>
  <c r="L17" i="5"/>
  <c r="M17" i="5"/>
  <c r="L16" i="5"/>
  <c r="M16" i="5"/>
  <c r="L15" i="5"/>
  <c r="M15" i="5"/>
  <c r="L14" i="5"/>
  <c r="M14" i="5"/>
  <c r="L13" i="5"/>
  <c r="M13" i="5"/>
  <c r="L12" i="5"/>
  <c r="M12" i="5" s="1"/>
  <c r="F20" i="5"/>
  <c r="G20" i="5"/>
  <c r="F19" i="5"/>
  <c r="G19" i="5"/>
  <c r="F18" i="5"/>
  <c r="G18" i="5"/>
  <c r="F17" i="5"/>
  <c r="G17" i="5"/>
  <c r="F16" i="5"/>
  <c r="G16" i="5"/>
  <c r="F15" i="5"/>
  <c r="G15" i="5"/>
  <c r="F14" i="5"/>
  <c r="G14" i="5"/>
  <c r="F13" i="5"/>
  <c r="G13" i="5" s="1"/>
  <c r="F12" i="5"/>
  <c r="G12" i="5" s="1"/>
  <c r="F23" i="5" s="1"/>
  <c r="L12" i="3"/>
  <c r="M12" i="3"/>
  <c r="F20" i="3"/>
  <c r="G20" i="3"/>
  <c r="F19" i="3"/>
  <c r="G19" i="3"/>
  <c r="F18" i="3"/>
  <c r="G18" i="3"/>
  <c r="F17" i="3"/>
  <c r="G17" i="3"/>
  <c r="F16" i="3"/>
  <c r="G16" i="3"/>
  <c r="F15" i="3"/>
  <c r="G15" i="3"/>
  <c r="F14" i="3"/>
  <c r="G14" i="3"/>
  <c r="F13" i="3"/>
  <c r="G13" i="3"/>
  <c r="F12" i="3"/>
  <c r="G12" i="3"/>
  <c r="L90" i="3"/>
  <c r="F90" i="3"/>
  <c r="L73" i="5"/>
  <c r="F73" i="5"/>
  <c r="L56" i="5"/>
  <c r="F56" i="5"/>
  <c r="L39" i="5"/>
  <c r="F39" i="5"/>
  <c r="L22" i="5"/>
  <c r="L23" i="5" s="1"/>
  <c r="F22" i="5"/>
  <c r="F39" i="3"/>
  <c r="L39" i="3"/>
  <c r="F37" i="3"/>
  <c r="G37" i="3"/>
  <c r="F36" i="3"/>
  <c r="G36" i="3"/>
  <c r="F35" i="3"/>
  <c r="G35" i="3"/>
  <c r="F34" i="3"/>
  <c r="G34" i="3"/>
  <c r="F33" i="3"/>
  <c r="G33" i="3"/>
  <c r="F32" i="3"/>
  <c r="G32" i="3"/>
  <c r="F31" i="3"/>
  <c r="G31" i="3"/>
  <c r="F30" i="3"/>
  <c r="G30" i="3"/>
  <c r="F29" i="3"/>
  <c r="G29" i="3"/>
  <c r="F56" i="3"/>
  <c r="L56" i="3"/>
  <c r="F73" i="3"/>
  <c r="L73" i="3"/>
  <c r="L22" i="3"/>
  <c r="F22" i="3"/>
  <c r="O83" i="3"/>
  <c r="O32" i="5"/>
  <c r="L40" i="5"/>
  <c r="L4" i="3"/>
  <c r="F40" i="5"/>
  <c r="O35" i="5"/>
  <c r="L57" i="5"/>
  <c r="F57" i="5"/>
  <c r="L74" i="5"/>
  <c r="F74" i="5"/>
  <c r="L74" i="3"/>
  <c r="L91" i="3"/>
  <c r="D4" i="3"/>
  <c r="F91" i="3"/>
  <c r="L40" i="3"/>
  <c r="L57" i="3"/>
  <c r="F74" i="3"/>
  <c r="F57" i="3"/>
  <c r="F40" i="3"/>
  <c r="L23" i="3"/>
  <c r="F23" i="3"/>
  <c r="O86" i="3"/>
  <c r="L5" i="3"/>
  <c r="D5" i="3"/>
  <c r="D4" i="5" l="1"/>
  <c r="L4" i="5"/>
  <c r="O15" i="5"/>
  <c r="O18" i="5"/>
  <c r="D5" i="5"/>
  <c r="L5" i="5"/>
</calcChain>
</file>

<file path=xl/sharedStrings.xml><?xml version="1.0" encoding="utf-8"?>
<sst xmlns="http://schemas.openxmlformats.org/spreadsheetml/2006/main" count="207" uniqueCount="54">
  <si>
    <t>Summary</t>
  </si>
  <si>
    <t>GPA Calculator - حاسبة المعدل التراكمي</t>
  </si>
  <si>
    <t>ملخص عام</t>
  </si>
  <si>
    <t>Total Credit Hours</t>
  </si>
  <si>
    <t>Made with ❤️ for Faculty Students by</t>
  </si>
  <si>
    <t>إجمالي عدد الساعات</t>
  </si>
  <si>
    <t>Cumulative GPA of All Years</t>
  </si>
  <si>
    <t>المعدل التراكمي العام</t>
  </si>
  <si>
    <t>Year 1</t>
  </si>
  <si>
    <t>Term 1</t>
  </si>
  <si>
    <t>Term 2</t>
  </si>
  <si>
    <t>Course</t>
  </si>
  <si>
    <t>Credits</t>
  </si>
  <si>
    <t>Grade</t>
  </si>
  <si>
    <t>Point</t>
  </si>
  <si>
    <t>Total</t>
  </si>
  <si>
    <t>Course1</t>
  </si>
  <si>
    <t>A</t>
  </si>
  <si>
    <t>B-</t>
  </si>
  <si>
    <t>Course2</t>
  </si>
  <si>
    <t>B+</t>
  </si>
  <si>
    <t>Year 1 Hours</t>
  </si>
  <si>
    <t>Year 1 cGPA</t>
  </si>
  <si>
    <t>Total Term Hours</t>
  </si>
  <si>
    <t>Term GPA</t>
  </si>
  <si>
    <t>Year 2</t>
  </si>
  <si>
    <t>Term 3</t>
  </si>
  <si>
    <t>Term 4</t>
  </si>
  <si>
    <t>Year 2 Hours</t>
  </si>
  <si>
    <t>Year 2 cGPA</t>
  </si>
  <si>
    <t>Year 3</t>
  </si>
  <si>
    <t>Term 5</t>
  </si>
  <si>
    <t>Term 6</t>
  </si>
  <si>
    <t>Year 3 Hours</t>
  </si>
  <si>
    <t>Year 3 cGPA</t>
  </si>
  <si>
    <t>Year 4</t>
  </si>
  <si>
    <t>Term 7</t>
  </si>
  <si>
    <t>Term 8</t>
  </si>
  <si>
    <t>Year 4 Hours</t>
  </si>
  <si>
    <t>Year 4 cGPA</t>
  </si>
  <si>
    <t>Year 5</t>
  </si>
  <si>
    <t>Term 9</t>
  </si>
  <si>
    <t>Term 10</t>
  </si>
  <si>
    <t>Year 5 Hours</t>
  </si>
  <si>
    <t>Year 5 cGPA</t>
  </si>
  <si>
    <t>A+</t>
  </si>
  <si>
    <t>A-</t>
  </si>
  <si>
    <t>B</t>
  </si>
  <si>
    <t>C+</t>
  </si>
  <si>
    <t>C</t>
  </si>
  <si>
    <t>C-</t>
  </si>
  <si>
    <t>D+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</si>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</sst>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Almarai"/>
    </font>
    <font>
      <b/>
      <sz val="12"/>
      <color theme="1" tint="4.9989318521683403E-2"/>
      <name val="Calibri"/>
      <family val="2"/>
      <scheme val="minor"/>
    </font>
    <font>
      <b/>
      <sz val="11"/>
      <color theme="1"/>
      <name val="Cairo"/>
    </font>
    <font>
      <b/>
      <sz val="8"/>
      <color theme="1"/>
      <name val="Janna LT"/>
    </font>
    <font>
      <b/>
      <sz val="9"/>
      <color theme="0"/>
      <name val="Almarai"/>
    </font>
    <font>
      <b/>
      <sz val="11"/>
      <color theme="1" tint="4.9989318521683403E-2"/>
      <name val="Almarai"/>
    </font>
    <font>
      <b/>
      <sz val="12"/>
      <color theme="0"/>
      <name val="Almarai"/>
    </font>
    <font>
      <sz val="11"/>
      <color theme="0"/>
      <name val="Almarai"/>
    </font>
    <font>
      <b/>
      <sz val="12"/>
      <color rgb="FF153A43"/>
      <name val="Almara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499984740745262"/>
        <bgColor rgb="FFBDD7EE"/>
      </patternFill>
    </fill>
    <fill>
      <patternFill patternType="solid">
        <fgColor theme="8" tint="-0.499984740745262"/>
        <bgColor rgb="FFFFE699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/>
      <right/>
      <top style="medium">
        <color theme="8" tint="-0.499984740745262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/>
      <top/>
      <bottom/>
      <diagonal/>
    </border>
    <border>
      <left/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/>
      <top/>
      <bottom style="medium">
        <color theme="8" tint="-0.499984740745262"/>
      </bottom>
      <diagonal/>
    </border>
    <border>
      <left/>
      <right/>
      <top/>
      <bottom style="medium">
        <color theme="8" tint="-0.499984740745262"/>
      </bottom>
      <diagonal/>
    </border>
    <border>
      <left/>
      <right style="medium">
        <color theme="8" tint="-0.499984740745262"/>
      </right>
      <top/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 style="medium">
        <color theme="0"/>
      </top>
      <bottom/>
      <diagonal/>
    </border>
    <border>
      <left style="medium">
        <color theme="8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8" tint="-0.499984740745262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8" tint="-0.499984740745262"/>
      </bottom>
      <diagonal/>
    </border>
    <border>
      <left style="thin">
        <color auto="1"/>
      </left>
      <right style="medium">
        <color theme="8" tint="-0.499984740745262"/>
      </right>
      <top style="thin">
        <color auto="1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theme="8" tint="-0.499984740745262"/>
      </right>
      <top/>
      <bottom style="thin">
        <color auto="1"/>
      </bottom>
      <diagonal/>
    </border>
    <border>
      <left style="medium">
        <color theme="8" tint="-0.499984740745262"/>
      </left>
      <right/>
      <top style="medium">
        <color theme="2" tint="-9.9978637043366805E-2"/>
      </top>
      <bottom/>
      <diagonal/>
    </border>
    <border>
      <left/>
      <right/>
      <top style="medium">
        <color theme="2" tint="-9.9978637043366805E-2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8" tint="-0.499984740745262"/>
      </bottom>
      <diagonal/>
    </border>
    <border>
      <left/>
      <right style="medium">
        <color theme="1"/>
      </right>
      <top style="medium">
        <color theme="1"/>
      </top>
      <bottom style="medium">
        <color theme="8" tint="-0.499984740745262"/>
      </bottom>
      <diagonal/>
    </border>
    <border>
      <left style="medium">
        <color theme="1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1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8" tint="-0.499984740745262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hidden="1"/>
    </xf>
    <xf numFmtId="0" fontId="0" fillId="4" borderId="0" xfId="0" applyFill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3" fillId="2" borderId="7" xfId="0" applyFont="1" applyFill="1" applyBorder="1"/>
    <xf numFmtId="0" fontId="0" fillId="2" borderId="8" xfId="0" applyFill="1" applyBorder="1"/>
    <xf numFmtId="0" fontId="0" fillId="2" borderId="7" xfId="0" applyFill="1" applyBorder="1"/>
    <xf numFmtId="0" fontId="0" fillId="5" borderId="0" xfId="0" applyFill="1"/>
    <xf numFmtId="0" fontId="0" fillId="5" borderId="8" xfId="0" applyFill="1" applyBorder="1"/>
    <xf numFmtId="0" fontId="0" fillId="5" borderId="7" xfId="0" applyFill="1" applyBorder="1"/>
    <xf numFmtId="0" fontId="0" fillId="5" borderId="0" xfId="0" applyFill="1" applyAlignment="1" applyProtection="1">
      <alignment horizontal="center" vertical="center"/>
      <protection hidden="1"/>
    </xf>
    <xf numFmtId="0" fontId="0" fillId="5" borderId="0" xfId="0" applyFill="1" applyAlignment="1">
      <alignment horizontal="center" vertical="center"/>
    </xf>
    <xf numFmtId="0" fontId="0" fillId="0" borderId="2" xfId="0" applyBorder="1"/>
    <xf numFmtId="0" fontId="8" fillId="2" borderId="3" xfId="0" applyFont="1" applyFill="1" applyBorder="1" applyAlignment="1" applyProtection="1">
      <alignment vertical="center"/>
      <protection hidden="1"/>
    </xf>
    <xf numFmtId="0" fontId="3" fillId="2" borderId="14" xfId="0" applyFont="1" applyFill="1" applyBorder="1"/>
    <xf numFmtId="0" fontId="0" fillId="0" borderId="17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horizontal="center" vertical="center"/>
      <protection hidden="1"/>
    </xf>
    <xf numFmtId="0" fontId="2" fillId="9" borderId="17" xfId="0" applyFont="1" applyFill="1" applyBorder="1" applyAlignment="1" applyProtection="1">
      <alignment horizontal="center" vertical="center"/>
      <protection hidden="1"/>
    </xf>
    <xf numFmtId="0" fontId="2" fillId="9" borderId="1" xfId="0" applyFont="1" applyFill="1" applyBorder="1" applyAlignment="1" applyProtection="1">
      <alignment horizontal="center" vertical="center"/>
      <protection hidden="1"/>
    </xf>
    <xf numFmtId="0" fontId="2" fillId="9" borderId="18" xfId="0" applyFont="1" applyFill="1" applyBorder="1" applyAlignment="1" applyProtection="1">
      <alignment horizontal="center" vertical="center"/>
      <protection hidden="1"/>
    </xf>
    <xf numFmtId="0" fontId="3" fillId="5" borderId="9" xfId="0" applyFont="1" applyFill="1" applyBorder="1"/>
    <xf numFmtId="0" fontId="0" fillId="5" borderId="10" xfId="0" applyFill="1" applyBorder="1"/>
    <xf numFmtId="0" fontId="0" fillId="5" borderId="11" xfId="0" applyFill="1" applyBorder="1" applyAlignment="1">
      <alignment horizontal="center"/>
    </xf>
    <xf numFmtId="0" fontId="0" fillId="10" borderId="8" xfId="0" applyFill="1" applyBorder="1"/>
    <xf numFmtId="0" fontId="0" fillId="5" borderId="9" xfId="0" applyFill="1" applyBorder="1"/>
    <xf numFmtId="0" fontId="0" fillId="5" borderId="11" xfId="0" applyFill="1" applyBorder="1"/>
    <xf numFmtId="0" fontId="6" fillId="5" borderId="8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2" fillId="6" borderId="25" xfId="0" applyFont="1" applyFill="1" applyBorder="1" applyAlignment="1" applyProtection="1">
      <alignment horizontal="center" vertical="center"/>
      <protection hidden="1"/>
    </xf>
    <xf numFmtId="0" fontId="9" fillId="8" borderId="6" xfId="0" applyFont="1" applyFill="1" applyBorder="1" applyAlignment="1" applyProtection="1">
      <alignment horizontal="center" vertical="center"/>
      <protection hidden="1"/>
    </xf>
    <xf numFmtId="0" fontId="0" fillId="8" borderId="13" xfId="0" applyFill="1" applyBorder="1"/>
    <xf numFmtId="0" fontId="0" fillId="2" borderId="16" xfId="0" applyFill="1" applyBorder="1"/>
    <xf numFmtId="0" fontId="0" fillId="5" borderId="7" xfId="0" applyFill="1" applyBorder="1" applyAlignment="1">
      <alignment horizontal="center" vertical="center"/>
    </xf>
    <xf numFmtId="164" fontId="5" fillId="3" borderId="0" xfId="0" applyNumberFormat="1" applyFont="1" applyFill="1" applyAlignment="1" applyProtection="1">
      <alignment horizontal="center" vertical="center"/>
      <protection hidden="1"/>
    </xf>
    <xf numFmtId="164" fontId="1" fillId="7" borderId="0" xfId="0" applyNumberFormat="1" applyFont="1" applyFill="1" applyAlignment="1" applyProtection="1">
      <alignment horizontal="center" vertical="center"/>
      <protection hidden="1"/>
    </xf>
    <xf numFmtId="0" fontId="6" fillId="2" borderId="26" xfId="0" applyFont="1" applyFill="1" applyBorder="1"/>
    <xf numFmtId="0" fontId="6" fillId="2" borderId="0" xfId="0" applyFont="1" applyFill="1"/>
    <xf numFmtId="0" fontId="8" fillId="6" borderId="29" xfId="0" applyFont="1" applyFill="1" applyBorder="1" applyAlignment="1" applyProtection="1">
      <alignment horizontal="center" vertical="center"/>
      <protection hidden="1"/>
    </xf>
    <xf numFmtId="0" fontId="12" fillId="6" borderId="30" xfId="0" applyFont="1" applyFill="1" applyBorder="1" applyAlignment="1" applyProtection="1">
      <alignment horizontal="center" vertical="center"/>
      <protection hidden="1"/>
    </xf>
    <xf numFmtId="0" fontId="8" fillId="6" borderId="12" xfId="0" applyFont="1" applyFill="1" applyBorder="1" applyAlignment="1" applyProtection="1">
      <alignment horizontal="center" vertical="center"/>
      <protection hidden="1"/>
    </xf>
    <xf numFmtId="0" fontId="8" fillId="6" borderId="13" xfId="0" applyFont="1" applyFill="1" applyBorder="1" applyAlignment="1" applyProtection="1">
      <alignment horizontal="center" vertical="center"/>
      <protection hidden="1"/>
    </xf>
    <xf numFmtId="1" fontId="5" fillId="3" borderId="0" xfId="0" applyNumberFormat="1" applyFont="1" applyFill="1" applyAlignment="1" applyProtection="1">
      <alignment horizontal="center" vertical="center"/>
      <protection hidden="1"/>
    </xf>
    <xf numFmtId="0" fontId="4" fillId="5" borderId="24" xfId="0" applyFont="1" applyFill="1" applyBorder="1" applyAlignment="1" applyProtection="1">
      <alignment horizontal="center" vertical="center"/>
      <protection hidden="1"/>
    </xf>
    <xf numFmtId="0" fontId="14" fillId="5" borderId="15" xfId="0" applyFont="1" applyFill="1" applyBorder="1" applyAlignment="1" applyProtection="1">
      <alignment horizontal="center" vertical="center"/>
      <protection hidden="1"/>
    </xf>
    <xf numFmtId="0" fontId="14" fillId="5" borderId="13" xfId="0" applyFont="1" applyFill="1" applyBorder="1" applyAlignment="1" applyProtection="1">
      <alignment horizontal="center" vertical="center"/>
      <protection hidden="1"/>
    </xf>
    <xf numFmtId="0" fontId="8" fillId="5" borderId="15" xfId="0" applyFont="1" applyFill="1" applyBorder="1" applyAlignment="1" applyProtection="1">
      <alignment horizontal="center" vertical="center"/>
      <protection hidden="1"/>
    </xf>
    <xf numFmtId="0" fontId="8" fillId="5" borderId="12" xfId="0" applyFont="1" applyFill="1" applyBorder="1" applyAlignment="1" applyProtection="1">
      <alignment horizontal="center" vertical="center"/>
      <protection hidden="1"/>
    </xf>
    <xf numFmtId="0" fontId="8" fillId="5" borderId="13" xfId="0" applyFont="1" applyFill="1" applyBorder="1" applyAlignment="1" applyProtection="1">
      <alignment horizontal="center" vertical="center"/>
      <protection hidden="1"/>
    </xf>
    <xf numFmtId="0" fontId="14" fillId="5" borderId="27" xfId="0" applyFont="1" applyFill="1" applyBorder="1" applyAlignment="1" applyProtection="1">
      <alignment horizontal="center" vertical="center"/>
      <protection hidden="1"/>
    </xf>
    <xf numFmtId="0" fontId="14" fillId="5" borderId="28" xfId="0" applyFont="1" applyFill="1" applyBorder="1" applyAlignment="1" applyProtection="1">
      <alignment horizontal="center" vertical="center"/>
      <protection hidden="1"/>
    </xf>
    <xf numFmtId="0" fontId="15" fillId="6" borderId="15" xfId="0" applyFont="1" applyFill="1" applyBorder="1" applyAlignment="1" applyProtection="1">
      <alignment horizontal="center" vertical="center"/>
      <protection hidden="1"/>
    </xf>
    <xf numFmtId="0" fontId="15" fillId="6" borderId="12" xfId="0" applyFont="1" applyFill="1" applyBorder="1" applyAlignment="1" applyProtection="1">
      <alignment horizontal="center" vertical="center"/>
      <protection hidden="1"/>
    </xf>
    <xf numFmtId="0" fontId="15" fillId="6" borderId="13" xfId="0" applyFont="1" applyFill="1" applyBorder="1" applyAlignment="1" applyProtection="1">
      <alignment horizontal="center" vertical="center"/>
      <protection hidden="1"/>
    </xf>
    <xf numFmtId="0" fontId="13" fillId="8" borderId="4" xfId="0" applyFont="1" applyFill="1" applyBorder="1" applyAlignment="1" applyProtection="1">
      <alignment horizontal="center" vertical="center" wrapText="1"/>
      <protection hidden="1"/>
    </xf>
    <xf numFmtId="0" fontId="13" fillId="8" borderId="9" xfId="0" applyFont="1" applyFill="1" applyBorder="1" applyAlignment="1" applyProtection="1">
      <alignment horizontal="center" vertical="center" wrapText="1"/>
      <protection hidden="1"/>
    </xf>
    <xf numFmtId="164" fontId="13" fillId="8" borderId="6" xfId="0" applyNumberFormat="1" applyFont="1" applyFill="1" applyBorder="1" applyAlignment="1" applyProtection="1">
      <alignment horizontal="center" vertical="center"/>
      <protection hidden="1"/>
    </xf>
    <xf numFmtId="164" fontId="13" fillId="8" borderId="11" xfId="0" applyNumberFormat="1" applyFont="1" applyFill="1" applyBorder="1" applyAlignment="1" applyProtection="1">
      <alignment horizontal="center" vertical="center"/>
      <protection hidden="1"/>
    </xf>
    <xf numFmtId="0" fontId="11" fillId="2" borderId="4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top" wrapText="1"/>
    </xf>
    <xf numFmtId="0" fontId="10" fillId="2" borderId="6" xfId="0" applyFont="1" applyFill="1" applyBorder="1" applyAlignment="1">
      <alignment horizontal="center" vertical="top" wrapText="1"/>
    </xf>
    <xf numFmtId="0" fontId="10" fillId="2" borderId="9" xfId="0" applyFont="1" applyFill="1" applyBorder="1" applyAlignment="1">
      <alignment horizontal="center" vertical="top" wrapText="1"/>
    </xf>
    <xf numFmtId="0" fontId="10" fillId="2" borderId="10" xfId="0" applyFont="1" applyFill="1" applyBorder="1" applyAlignment="1">
      <alignment horizontal="center" vertical="top" wrapText="1"/>
    </xf>
    <xf numFmtId="0" fontId="10" fillId="2" borderId="11" xfId="0" applyFont="1" applyFill="1" applyBorder="1" applyAlignment="1">
      <alignment horizontal="center" vertical="top" wrapText="1"/>
    </xf>
    <xf numFmtId="164" fontId="13" fillId="8" borderId="31" xfId="0" applyNumberFormat="1" applyFont="1" applyFill="1" applyBorder="1" applyAlignment="1" applyProtection="1">
      <alignment horizontal="center" vertical="center"/>
      <protection hidden="1"/>
    </xf>
    <xf numFmtId="164" fontId="13" fillId="8" borderId="32" xfId="0" applyNumberFormat="1" applyFont="1" applyFill="1" applyBorder="1" applyAlignment="1" applyProtection="1">
      <alignment horizontal="center" vertical="center"/>
      <protection hidden="1"/>
    </xf>
    <xf numFmtId="0" fontId="13" fillId="8" borderId="34" xfId="0" applyFont="1" applyFill="1" applyBorder="1" applyAlignment="1" applyProtection="1">
      <alignment horizontal="center" vertical="center" wrapText="1"/>
      <protection hidden="1"/>
    </xf>
    <xf numFmtId="0" fontId="13" fillId="8" borderId="33" xfId="0" applyFont="1" applyFill="1" applyBorder="1" applyAlignment="1" applyProtection="1">
      <alignment horizontal="center" vertical="center" wrapText="1"/>
      <protection hidden="1"/>
    </xf>
    <xf numFmtId="0" fontId="7" fillId="3" borderId="0" xfId="0" applyFont="1" applyFill="1" applyAlignment="1" applyProtection="1">
      <alignment horizontal="center" vertical="center"/>
      <protection hidden="1"/>
    </xf>
    <xf numFmtId="0" fontId="16" fillId="8" borderId="4" xfId="0" applyFont="1" applyFill="1" applyBorder="1" applyAlignment="1" applyProtection="1">
      <alignment horizontal="center" vertical="center"/>
      <protection hidden="1"/>
    </xf>
    <xf numFmtId="0" fontId="16" fillId="8" borderId="5" xfId="0" applyFont="1" applyFill="1" applyBorder="1" applyAlignment="1" applyProtection="1">
      <alignment horizontal="center" vertical="center"/>
      <protection hidden="1"/>
    </xf>
    <xf numFmtId="0" fontId="1" fillId="7" borderId="21" xfId="0" applyFont="1" applyFill="1" applyBorder="1" applyAlignment="1" applyProtection="1">
      <alignment horizontal="center" vertical="center"/>
      <protection hidden="1"/>
    </xf>
    <xf numFmtId="0" fontId="1" fillId="7" borderId="22" xfId="0" applyFont="1" applyFill="1" applyBorder="1" applyAlignment="1" applyProtection="1">
      <alignment horizontal="center" vertical="center"/>
      <protection hidden="1"/>
    </xf>
    <xf numFmtId="0" fontId="1" fillId="7" borderId="23" xfId="0" applyFont="1" applyFill="1" applyBorder="1" applyAlignment="1" applyProtection="1">
      <alignment horizontal="center" vertical="center"/>
      <protection hidden="1"/>
    </xf>
    <xf numFmtId="0" fontId="4" fillId="5" borderId="24" xfId="0" applyFont="1" applyFill="1" applyBorder="1" applyAlignment="1" applyProtection="1">
      <alignment horizontal="center" vertical="center"/>
      <protection hidden="1"/>
    </xf>
    <xf numFmtId="0" fontId="4" fillId="5" borderId="25" xfId="0" applyFont="1" applyFill="1" applyBorder="1" applyAlignment="1" applyProtection="1">
      <alignment horizontal="center" vertical="center"/>
      <protection hidden="1"/>
    </xf>
    <xf numFmtId="0" fontId="16" fillId="8" borderId="15" xfId="0" applyFont="1" applyFill="1" applyBorder="1" applyAlignment="1" applyProtection="1">
      <alignment horizontal="center" vertical="center"/>
      <protection hidden="1"/>
    </xf>
    <xf numFmtId="0" fontId="16" fillId="8" borderId="12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53A43"/>
      <color rgb="FF2463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7153</xdr:colOff>
      <xdr:row>4</xdr:row>
      <xdr:rowOff>222925</xdr:rowOff>
    </xdr:from>
    <xdr:to>
      <xdr:col>8</xdr:col>
      <xdr:colOff>1201200</xdr:colOff>
      <xdr:row>5</xdr:row>
      <xdr:rowOff>235643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3CFB0C-4A44-4CD0-9AC5-4154FD156A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969" t="36828" r="27582"/>
        <a:stretch/>
      </xdr:blipFill>
      <xdr:spPr>
        <a:xfrm>
          <a:off x="5750728" y="1375450"/>
          <a:ext cx="2927597" cy="355618"/>
        </a:xfrm>
        <a:prstGeom prst="rect">
          <a:avLst/>
        </a:prstGeom>
      </xdr:spPr>
    </xdr:pic>
    <xdr:clientData/>
  </xdr:twoCellAnchor>
  <xdr:twoCellAnchor editAs="oneCell">
    <xdr:from>
      <xdr:col>8</xdr:col>
      <xdr:colOff>1171195</xdr:colOff>
      <xdr:row>4</xdr:row>
      <xdr:rowOff>17657</xdr:rowOff>
    </xdr:from>
    <xdr:to>
      <xdr:col>9</xdr:col>
      <xdr:colOff>762003</xdr:colOff>
      <xdr:row>5</xdr:row>
      <xdr:rowOff>268742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BA35F9-E74C-44A5-9B6D-15B133BD39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39" r="10624"/>
        <a:stretch>
          <a:fillRect/>
        </a:stretch>
      </xdr:blipFill>
      <xdr:spPr>
        <a:xfrm>
          <a:off x="8648320" y="1170182"/>
          <a:ext cx="886208" cy="593985"/>
        </a:xfrm>
        <a:prstGeom prst="rect">
          <a:avLst/>
        </a:prstGeom>
      </xdr:spPr>
    </xdr:pic>
    <xdr:clientData/>
  </xdr:twoCellAnchor>
  <xdr:twoCellAnchor editAs="oneCell">
    <xdr:from>
      <xdr:col>7</xdr:col>
      <xdr:colOff>83939</xdr:colOff>
      <xdr:row>4</xdr:row>
      <xdr:rowOff>47202</xdr:rowOff>
    </xdr:from>
    <xdr:to>
      <xdr:col>8</xdr:col>
      <xdr:colOff>1155454</xdr:colOff>
      <xdr:row>4</xdr:row>
      <xdr:rowOff>232156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0235FF-84E8-4F2F-A985-8E5D263B1B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5927"/>
        <a:stretch/>
      </xdr:blipFill>
      <xdr:spPr>
        <a:xfrm>
          <a:off x="7427714" y="1199727"/>
          <a:ext cx="1204865" cy="1849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7153</xdr:colOff>
      <xdr:row>4</xdr:row>
      <xdr:rowOff>222925</xdr:rowOff>
    </xdr:from>
    <xdr:to>
      <xdr:col>8</xdr:col>
      <xdr:colOff>1201200</xdr:colOff>
      <xdr:row>5</xdr:row>
      <xdr:rowOff>235643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2E3888-7C55-5278-13B1-D5F055DE8C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969" t="36828" r="27582"/>
        <a:stretch/>
      </xdr:blipFill>
      <xdr:spPr>
        <a:xfrm>
          <a:off x="6246028" y="1375450"/>
          <a:ext cx="2927597" cy="355618"/>
        </a:xfrm>
        <a:prstGeom prst="rect">
          <a:avLst/>
        </a:prstGeom>
      </xdr:spPr>
    </xdr:pic>
    <xdr:clientData/>
  </xdr:twoCellAnchor>
  <xdr:twoCellAnchor editAs="oneCell">
    <xdr:from>
      <xdr:col>8</xdr:col>
      <xdr:colOff>1171195</xdr:colOff>
      <xdr:row>4</xdr:row>
      <xdr:rowOff>17657</xdr:rowOff>
    </xdr:from>
    <xdr:to>
      <xdr:col>9</xdr:col>
      <xdr:colOff>762003</xdr:colOff>
      <xdr:row>5</xdr:row>
      <xdr:rowOff>268742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254C4F-EB7D-869F-6F36-57740A73DD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39" r="10624"/>
        <a:stretch>
          <a:fillRect/>
        </a:stretch>
      </xdr:blipFill>
      <xdr:spPr>
        <a:xfrm>
          <a:off x="9146795" y="1169124"/>
          <a:ext cx="886208" cy="593985"/>
        </a:xfrm>
        <a:prstGeom prst="rect">
          <a:avLst/>
        </a:prstGeom>
      </xdr:spPr>
    </xdr:pic>
    <xdr:clientData/>
  </xdr:twoCellAnchor>
  <xdr:twoCellAnchor editAs="oneCell">
    <xdr:from>
      <xdr:col>7</xdr:col>
      <xdr:colOff>83939</xdr:colOff>
      <xdr:row>4</xdr:row>
      <xdr:rowOff>47202</xdr:rowOff>
    </xdr:from>
    <xdr:to>
      <xdr:col>8</xdr:col>
      <xdr:colOff>1155454</xdr:colOff>
      <xdr:row>4</xdr:row>
      <xdr:rowOff>232156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40ED3B-2BCA-6666-3A6E-DBB97BE1D6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5927"/>
        <a:stretch/>
      </xdr:blipFill>
      <xdr:spPr>
        <a:xfrm>
          <a:off x="7913354" y="1202362"/>
          <a:ext cx="1206621" cy="184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1273-D391-452C-9EE7-40A53F448678}">
  <sheetPr codeName="Sheet1">
    <tabColor theme="8" tint="0.39997558519241921"/>
  </sheetPr>
  <dimension ref="A1:ACW320"/>
  <sheetViews>
    <sheetView tabSelected="1" zoomScale="103" zoomScaleNormal="400" workbookViewId="0">
      <pane ySplit="7" topLeftCell="A8" activePane="bottomLeft" state="frozen"/>
      <selection activeCell="F1" sqref="F1"/>
      <selection pane="bottomLeft" activeCell="L12" sqref="L12"/>
    </sheetView>
  </sheetViews>
  <sheetFormatPr defaultRowHeight="14.4"/>
  <cols>
    <col min="1" max="1" width="33.88671875" style="3" customWidth="1"/>
    <col min="2" max="2" width="15.44140625" customWidth="1"/>
    <col min="3" max="3" width="20" customWidth="1"/>
    <col min="4" max="5" width="8.33203125" customWidth="1"/>
    <col min="6" max="7" width="12" customWidth="1"/>
    <col min="8" max="8" width="2" customWidth="1"/>
    <col min="9" max="9" width="19.44140625" customWidth="1"/>
    <col min="10" max="10" width="12" customWidth="1"/>
    <col min="11" max="12" width="8.33203125" customWidth="1"/>
    <col min="13" max="13" width="19" customWidth="1"/>
    <col min="14" max="14" width="4" customWidth="1"/>
    <col min="15" max="15" width="13.88671875" customWidth="1"/>
    <col min="16" max="16" width="2" customWidth="1"/>
    <col min="17" max="20" width="12" style="3" customWidth="1"/>
    <col min="21" max="21" width="2" style="3" customWidth="1"/>
    <col min="22" max="26" width="12" style="3" customWidth="1"/>
    <col min="27" max="27" width="2" style="3" customWidth="1"/>
    <col min="28" max="32" width="12" style="3" customWidth="1"/>
    <col min="33" max="33" width="2" style="3" customWidth="1"/>
    <col min="34" max="38" width="12" style="3" customWidth="1"/>
    <col min="39" max="39" width="2" style="3" customWidth="1"/>
    <col min="40" max="44" width="12" style="3" customWidth="1"/>
    <col min="45" max="45" width="2" style="3" customWidth="1"/>
    <col min="46" max="50" width="12" style="3" customWidth="1"/>
    <col min="51" max="777" width="9.109375" style="3"/>
  </cols>
  <sheetData>
    <row r="1" spans="2:16" s="3" customFormat="1" ht="15" thickBot="1"/>
    <row r="2" spans="2:16" ht="15" thickBot="1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2:16" ht="33.75" customHeight="1" thickBot="1">
      <c r="B3" s="18"/>
      <c r="C3" s="49" t="s">
        <v>0</v>
      </c>
      <c r="D3" s="50"/>
      <c r="E3" s="16"/>
      <c r="F3" s="51" t="s">
        <v>1</v>
      </c>
      <c r="G3" s="52"/>
      <c r="H3" s="52"/>
      <c r="I3" s="52"/>
      <c r="J3" s="53"/>
      <c r="K3" s="16"/>
      <c r="L3" s="54" t="s">
        <v>2</v>
      </c>
      <c r="M3" s="55"/>
      <c r="N3" s="4"/>
      <c r="O3" s="4"/>
      <c r="P3" s="9"/>
    </row>
    <row r="4" spans="2:16" ht="25.5" customHeight="1" thickBot="1">
      <c r="B4" s="18"/>
      <c r="C4" s="45" t="s">
        <v>3</v>
      </c>
      <c r="D4" s="46">
        <f>F22+L22+F39+L39+F56+L56+F73+L73</f>
        <v>0</v>
      </c>
      <c r="E4" s="17"/>
      <c r="F4" s="56" t="s">
        <v>4</v>
      </c>
      <c r="G4" s="57"/>
      <c r="H4" s="57"/>
      <c r="I4" s="57"/>
      <c r="J4" s="58"/>
      <c r="K4" s="17"/>
      <c r="L4" s="43">
        <f>F22+L22+F39+L39+F56+L56+F73+L73</f>
        <v>0</v>
      </c>
      <c r="M4" s="44" t="s">
        <v>5</v>
      </c>
      <c r="N4" s="4"/>
      <c r="O4" s="4"/>
      <c r="P4" s="9"/>
    </row>
    <row r="5" spans="2:16" ht="27" customHeight="1">
      <c r="B5" s="8"/>
      <c r="C5" s="59" t="s">
        <v>6</v>
      </c>
      <c r="D5" s="61">
        <f>IFERROR(
  (IF(ISNUMBER(F22*F23), F22*F23, 0) +
   IF(ISNUMBER(L22*L23), L22*L23, 0) +
   IF(ISNUMBER(F39*F40), F39*F40, 0) +
   IF(ISNUMBER(L39*L40), L39*L40, 0) +
   IF(ISNUMBER(F56*F57), F56*F57, 0) +
   IF(ISNUMBER(L56*L57), L56*L57, 0) +
   IF(ISNUMBER(F73*F74), F73*F74, 0) +
   IF(ISNUMBER(L73*L74), L73*L74, 0))
  /
  (IF(ISNUMBER(F22), F22, 0) +
   IF(ISNUMBER(L22), L22, 0) +
   IF(ISNUMBER(F39), F39, 0) +
   IF(ISNUMBER(L39), L39, 0) +
   IF(ISNUMBER(F56), F56, 0) +
   IF(ISNUMBER(L56), L56, 0) +
   IF(ISNUMBER(F73), F73, 0) +
   IF(ISNUMBER(L73), L73, 0)),
  0)</f>
        <v>0</v>
      </c>
      <c r="E5" s="37"/>
      <c r="F5" s="63"/>
      <c r="G5" s="64"/>
      <c r="H5" s="64"/>
      <c r="I5" s="64"/>
      <c r="J5" s="65"/>
      <c r="K5" s="41"/>
      <c r="L5" s="69">
        <f>IFERROR(
  (IF(ISNUMBER(F22*F23), F22*F23, 0) +
   IF(ISNUMBER(L22*L23), L22*L23, 0) +
   IF(ISNUMBER(F39*F40), F39*F40, 0) +
   IF(ISNUMBER(L39*L40), L39*L40, 0) +
   IF(ISNUMBER(F56*F57), F56*F57, 0) +
   IF(ISNUMBER(L56*L57), L56*L57, 0) +
   IF(ISNUMBER(F73*F74), F73*F74, 0) +
   IF(ISNUMBER(L73*L74), L73*L74, 0))
  /
  (IF(ISNUMBER(F22), F22, 0) +
   IF(ISNUMBER(L22), L22, 0) +
   IF(ISNUMBER(F39), F39, 0) +
   IF(ISNUMBER(L39), L39, 0) +
   IF(ISNUMBER(F56), F56, 0) +
   IF(ISNUMBER(L56), L56, 0) +
   IF(ISNUMBER(F73), F73, 0) +
   IF(ISNUMBER(L73), L73, 0)),
  0)</f>
        <v>0</v>
      </c>
      <c r="M5" s="71" t="s">
        <v>7</v>
      </c>
      <c r="N5" s="4"/>
      <c r="O5" s="4"/>
      <c r="P5" s="9"/>
    </row>
    <row r="6" spans="2:16" ht="24" customHeight="1" thickBot="1">
      <c r="B6" s="8"/>
      <c r="C6" s="60"/>
      <c r="D6" s="62"/>
      <c r="E6" s="10"/>
      <c r="F6" s="66"/>
      <c r="G6" s="67"/>
      <c r="H6" s="67"/>
      <c r="I6" s="67"/>
      <c r="J6" s="68"/>
      <c r="K6" s="42"/>
      <c r="L6" s="70"/>
      <c r="M6" s="72"/>
      <c r="N6" s="4"/>
      <c r="O6" s="4"/>
      <c r="P6" s="9"/>
    </row>
    <row r="7" spans="2:16" ht="15" thickBot="1">
      <c r="B7" s="1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9"/>
    </row>
    <row r="8" spans="2:16" ht="21.75" customHeight="1">
      <c r="B8" s="74" t="s">
        <v>8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35"/>
    </row>
    <row r="9" spans="2:16" ht="15" thickBot="1">
      <c r="B9" s="26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8"/>
      <c r="O9" s="11"/>
      <c r="P9" s="12"/>
    </row>
    <row r="10" spans="2:16">
      <c r="B10" s="13"/>
      <c r="C10" s="76" t="s">
        <v>9</v>
      </c>
      <c r="D10" s="77"/>
      <c r="E10" s="77"/>
      <c r="F10" s="77"/>
      <c r="G10" s="78"/>
      <c r="H10" s="14"/>
      <c r="I10" s="76" t="s">
        <v>10</v>
      </c>
      <c r="J10" s="77"/>
      <c r="K10" s="77"/>
      <c r="L10" s="77"/>
      <c r="M10" s="78"/>
      <c r="N10" s="29"/>
      <c r="O10" s="11"/>
      <c r="P10" s="12"/>
    </row>
    <row r="11" spans="2:16">
      <c r="B11" s="13"/>
      <c r="C11" s="23" t="s">
        <v>11</v>
      </c>
      <c r="D11" s="24" t="s">
        <v>12</v>
      </c>
      <c r="E11" s="24" t="s">
        <v>13</v>
      </c>
      <c r="F11" s="24" t="s">
        <v>14</v>
      </c>
      <c r="G11" s="25" t="s">
        <v>15</v>
      </c>
      <c r="H11" s="14"/>
      <c r="I11" s="23" t="s">
        <v>11</v>
      </c>
      <c r="J11" s="24" t="s">
        <v>12</v>
      </c>
      <c r="K11" s="24" t="s">
        <v>13</v>
      </c>
      <c r="L11" s="24" t="s">
        <v>14</v>
      </c>
      <c r="M11" s="25" t="s">
        <v>15</v>
      </c>
      <c r="N11" s="29"/>
      <c r="O11" s="11"/>
      <c r="P11" s="12"/>
    </row>
    <row r="12" spans="2:16">
      <c r="B12" s="13"/>
      <c r="C12" s="19"/>
      <c r="D12" s="1"/>
      <c r="E12" s="1"/>
      <c r="F12" s="2" t="str">
        <f>IF(E12="", "", VLOOKUP(E12, GradingTable!$A$2:$B$14, 2, FALSE))</f>
        <v/>
      </c>
      <c r="G12" s="20" t="str">
        <f t="shared" ref="G12:G20" si="0">IF(AND(ISNUMBER(D12),ISNUMBER(F12)),D12*F12,"")</f>
        <v/>
      </c>
      <c r="H12" s="15"/>
      <c r="I12" s="19"/>
      <c r="J12" s="1"/>
      <c r="K12" s="1"/>
      <c r="L12" s="2" t="str">
        <f>IF(K12="", "", VLOOKUP(K12, GradingTable!$A$2:$B$14, 2, FALSE))</f>
        <v/>
      </c>
      <c r="M12" s="20" t="str">
        <f t="shared" ref="M12:M20" si="1">IF(AND(ISNUMBER(J12),ISNUMBER(L12)),J12*L12,"")</f>
        <v/>
      </c>
      <c r="N12" s="29"/>
      <c r="O12" s="11"/>
      <c r="P12" s="12"/>
    </row>
    <row r="13" spans="2:16" ht="15" thickBot="1">
      <c r="B13" s="13"/>
      <c r="C13" s="19"/>
      <c r="D13" s="1"/>
      <c r="E13" s="1"/>
      <c r="F13" s="2" t="str">
        <f>IF(E13="", "", VLOOKUP(E13, GradingTable!$A$2:$B$14, 2, FALSE))</f>
        <v/>
      </c>
      <c r="G13" s="20" t="str">
        <f t="shared" si="0"/>
        <v/>
      </c>
      <c r="H13" s="15"/>
      <c r="I13" s="19"/>
      <c r="J13" s="1"/>
      <c r="K13" s="1"/>
      <c r="L13" s="2" t="str">
        <f>IF(K13="", "", VLOOKUP(K13, GradingTable!$A$2:$B$14, 2, FALSE))</f>
        <v/>
      </c>
      <c r="M13" s="20" t="str">
        <f t="shared" si="1"/>
        <v/>
      </c>
      <c r="N13" s="29"/>
      <c r="O13" s="11"/>
      <c r="P13" s="12"/>
    </row>
    <row r="14" spans="2:16">
      <c r="B14" s="13"/>
      <c r="C14" s="19"/>
      <c r="D14" s="1"/>
      <c r="E14" s="1"/>
      <c r="F14" s="2" t="str">
        <f>IF(E14="", "", VLOOKUP(E14, GradingTable!$A$2:$B$14, 2, FALSE))</f>
        <v/>
      </c>
      <c r="G14" s="20" t="str">
        <f t="shared" si="0"/>
        <v/>
      </c>
      <c r="H14" s="15"/>
      <c r="I14" s="19"/>
      <c r="J14" s="1"/>
      <c r="K14" s="1"/>
      <c r="L14" s="2" t="str">
        <f>IF(K14="", "", VLOOKUP(K14, GradingTable!$A$2:$B$14, 2, FALSE))</f>
        <v/>
      </c>
      <c r="M14" s="20" t="str">
        <f t="shared" si="1"/>
        <v/>
      </c>
      <c r="N14" s="29"/>
      <c r="O14" s="48" t="s">
        <v>21</v>
      </c>
      <c r="P14" s="12"/>
    </row>
    <row r="15" spans="2:16">
      <c r="B15" s="13"/>
      <c r="C15" s="19"/>
      <c r="D15" s="1"/>
      <c r="E15" s="1"/>
      <c r="F15" s="2" t="str">
        <f>IF(E15="", "", VLOOKUP(E15, GradingTable!$A$2:$B$14, 2, FALSE))</f>
        <v/>
      </c>
      <c r="G15" s="20" t="str">
        <f t="shared" si="0"/>
        <v/>
      </c>
      <c r="H15" s="15"/>
      <c r="I15" s="19"/>
      <c r="J15" s="1"/>
      <c r="K15" s="1"/>
      <c r="L15" s="2" t="str">
        <f>IF(K15="", "", VLOOKUP(K15, GradingTable!$A$2:$B$14, 2, FALSE))</f>
        <v/>
      </c>
      <c r="M15" s="20" t="str">
        <f t="shared" si="1"/>
        <v/>
      </c>
      <c r="N15" s="29"/>
      <c r="O15" s="47">
        <f>SUM(F22+L22)</f>
        <v>0</v>
      </c>
      <c r="P15" s="32"/>
    </row>
    <row r="16" spans="2:16" ht="15" thickBot="1">
      <c r="B16" s="13"/>
      <c r="C16" s="19"/>
      <c r="D16" s="1"/>
      <c r="E16" s="1"/>
      <c r="F16" s="2" t="str">
        <f>IF(E16="", "", VLOOKUP(E16, GradingTable!$A$2:$B$14, 2, FALSE))</f>
        <v/>
      </c>
      <c r="G16" s="20" t="str">
        <f t="shared" si="0"/>
        <v/>
      </c>
      <c r="H16" s="15"/>
      <c r="I16" s="19"/>
      <c r="J16" s="1"/>
      <c r="K16" s="1"/>
      <c r="L16" s="2" t="str">
        <f>IF(K16="", "", VLOOKUP(K16, GradingTable!$A$2:$B$14, 2, FALSE))</f>
        <v/>
      </c>
      <c r="M16" s="20" t="str">
        <f t="shared" si="1"/>
        <v/>
      </c>
      <c r="N16" s="29"/>
      <c r="O16" s="11"/>
      <c r="P16" s="33"/>
    </row>
    <row r="17" spans="2:16">
      <c r="B17" s="13"/>
      <c r="C17" s="19"/>
      <c r="D17" s="1"/>
      <c r="E17" s="1"/>
      <c r="F17" s="2" t="str">
        <f>IF(E17="", "", VLOOKUP(E17, GradingTable!$A$2:$B$14, 2, FALSE))</f>
        <v/>
      </c>
      <c r="G17" s="20" t="str">
        <f t="shared" si="0"/>
        <v/>
      </c>
      <c r="H17" s="15"/>
      <c r="I17" s="19"/>
      <c r="J17" s="1"/>
      <c r="K17" s="1"/>
      <c r="L17" s="2" t="str">
        <f>IF(K17="", "", VLOOKUP(K17, GradingTable!$A$2:$B$14, 2, FALSE))</f>
        <v/>
      </c>
      <c r="M17" s="20" t="str">
        <f t="shared" si="1"/>
        <v/>
      </c>
      <c r="N17" s="29"/>
      <c r="O17" s="48" t="s">
        <v>22</v>
      </c>
      <c r="P17" s="12"/>
    </row>
    <row r="18" spans="2:16">
      <c r="B18" s="13"/>
      <c r="C18" s="19"/>
      <c r="D18" s="1"/>
      <c r="E18" s="1"/>
      <c r="F18" s="2" t="str">
        <f>IF(E18="", "", VLOOKUP(E18, GradingTable!$A$2:$B$14, 2, FALSE))</f>
        <v/>
      </c>
      <c r="G18" s="20" t="str">
        <f t="shared" si="0"/>
        <v/>
      </c>
      <c r="H18" s="15"/>
      <c r="I18" s="19"/>
      <c r="J18" s="1"/>
      <c r="K18" s="1"/>
      <c r="L18" s="2" t="str">
        <f>IF(K18="", "", VLOOKUP(K18, GradingTable!$A$2:$B$14, 2, FALSE))</f>
        <v/>
      </c>
      <c r="M18" s="20" t="str">
        <f t="shared" si="1"/>
        <v/>
      </c>
      <c r="N18" s="29"/>
      <c r="O18" s="39">
        <f>IFERROR(
  (IF(ISNUMBER(F22*F23), F22*F23, 0) +
   IF(ISNUMBER(L22*L23), L22*L23, 0))
  /
  (IF(ISNUMBER(F22), F22, 0) +
   IF(ISNUMBER(L22), L22, 0)),
  0)</f>
        <v>0</v>
      </c>
      <c r="P18" s="12"/>
    </row>
    <row r="19" spans="2:16">
      <c r="B19" s="13"/>
      <c r="C19" s="19"/>
      <c r="D19" s="1"/>
      <c r="E19" s="1"/>
      <c r="F19" s="2" t="str">
        <f>IF(E19="", "", VLOOKUP(E19, GradingTable!$A$2:$B$14, 2, FALSE))</f>
        <v/>
      </c>
      <c r="G19" s="20" t="str">
        <f t="shared" si="0"/>
        <v/>
      </c>
      <c r="H19" s="15"/>
      <c r="I19" s="19"/>
      <c r="J19" s="1"/>
      <c r="K19" s="1"/>
      <c r="L19" s="2" t="str">
        <f>IF(K19="", "", VLOOKUP(K19, GradingTable!$A$2:$B$14, 2, FALSE))</f>
        <v/>
      </c>
      <c r="M19" s="20" t="str">
        <f t="shared" si="1"/>
        <v/>
      </c>
      <c r="N19" s="29"/>
      <c r="O19" s="11"/>
      <c r="P19" s="12"/>
    </row>
    <row r="20" spans="2:16" ht="15" thickBot="1">
      <c r="B20" s="13"/>
      <c r="C20" s="19"/>
      <c r="D20" s="1"/>
      <c r="E20" s="1"/>
      <c r="F20" s="21" t="str">
        <f>IF(E20="", "", VLOOKUP(E20, GradingTable!$A$2:$B$14, 2, FALSE))</f>
        <v/>
      </c>
      <c r="G20" s="22" t="str">
        <f t="shared" si="0"/>
        <v/>
      </c>
      <c r="H20" s="15"/>
      <c r="I20" s="19"/>
      <c r="J20" s="1"/>
      <c r="K20" s="1"/>
      <c r="L20" s="21" t="str">
        <f>IF(K20="", "", VLOOKUP(K20, GradingTable!$A$2:$B$14, 2, FALSE))</f>
        <v/>
      </c>
      <c r="M20" s="22" t="str">
        <f t="shared" si="1"/>
        <v/>
      </c>
      <c r="N20" s="29"/>
      <c r="O20" s="11"/>
      <c r="P20" s="12"/>
    </row>
    <row r="21" spans="2:16" ht="15" thickBot="1">
      <c r="B21" s="13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29"/>
      <c r="O21" s="11"/>
      <c r="P21" s="12"/>
    </row>
    <row r="22" spans="2:16">
      <c r="B22" s="13"/>
      <c r="C22" s="11"/>
      <c r="D22" s="79" t="s">
        <v>23</v>
      </c>
      <c r="E22" s="80"/>
      <c r="F22" s="34">
        <f>SUM(D12:D21)</f>
        <v>0</v>
      </c>
      <c r="G22" s="15"/>
      <c r="H22" s="15"/>
      <c r="I22" s="11"/>
      <c r="J22" s="79" t="s">
        <v>23</v>
      </c>
      <c r="K22" s="80"/>
      <c r="L22" s="34">
        <f>SUM(J12:J21)</f>
        <v>0</v>
      </c>
      <c r="M22" s="15"/>
      <c r="N22" s="29"/>
      <c r="O22" s="11"/>
      <c r="P22" s="12"/>
    </row>
    <row r="23" spans="2:16">
      <c r="B23" s="13"/>
      <c r="C23" s="11"/>
      <c r="D23" s="73" t="s">
        <v>24</v>
      </c>
      <c r="E23" s="73"/>
      <c r="F23" s="40" t="str">
        <f>IF(F22=0, "", SUM(G12:G21)/F22)</f>
        <v/>
      </c>
      <c r="G23" s="15"/>
      <c r="H23" s="15"/>
      <c r="I23" s="11"/>
      <c r="J23" s="73" t="s">
        <v>24</v>
      </c>
      <c r="K23" s="73"/>
      <c r="L23" s="40" t="str">
        <f>IF(L22=0, "", SUM(M12:M21)/L22)</f>
        <v/>
      </c>
      <c r="M23" s="15"/>
      <c r="N23" s="29"/>
      <c r="O23" s="11"/>
      <c r="P23" s="12"/>
    </row>
    <row r="24" spans="2:16" ht="15" thickBot="1">
      <c r="B24" s="13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2"/>
      <c r="O24" s="11"/>
      <c r="P24" s="12"/>
    </row>
    <row r="25" spans="2:16" ht="21.75" customHeight="1" thickBot="1">
      <c r="B25" s="74" t="s">
        <v>25</v>
      </c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36"/>
    </row>
    <row r="26" spans="2:16" ht="15" thickBot="1"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8"/>
      <c r="O26" s="11"/>
      <c r="P26" s="12"/>
    </row>
    <row r="27" spans="2:16">
      <c r="B27" s="13"/>
      <c r="C27" s="76" t="s">
        <v>26</v>
      </c>
      <c r="D27" s="77"/>
      <c r="E27" s="77"/>
      <c r="F27" s="77"/>
      <c r="G27" s="78"/>
      <c r="H27" s="14"/>
      <c r="I27" s="76" t="s">
        <v>27</v>
      </c>
      <c r="J27" s="77"/>
      <c r="K27" s="77"/>
      <c r="L27" s="77"/>
      <c r="M27" s="78"/>
      <c r="N27" s="29"/>
      <c r="O27" s="11"/>
      <c r="P27" s="12"/>
    </row>
    <row r="28" spans="2:16">
      <c r="B28" s="13"/>
      <c r="C28" s="23" t="s">
        <v>11</v>
      </c>
      <c r="D28" s="24" t="s">
        <v>12</v>
      </c>
      <c r="E28" s="24" t="s">
        <v>13</v>
      </c>
      <c r="F28" s="24" t="s">
        <v>14</v>
      </c>
      <c r="G28" s="25" t="s">
        <v>15</v>
      </c>
      <c r="H28" s="14"/>
      <c r="I28" s="23" t="s">
        <v>11</v>
      </c>
      <c r="J28" s="24" t="s">
        <v>12</v>
      </c>
      <c r="K28" s="24" t="s">
        <v>13</v>
      </c>
      <c r="L28" s="24" t="s">
        <v>14</v>
      </c>
      <c r="M28" s="25" t="s">
        <v>15</v>
      </c>
      <c r="N28" s="29"/>
      <c r="O28" s="11"/>
      <c r="P28" s="12"/>
    </row>
    <row r="29" spans="2:16">
      <c r="B29" s="13"/>
      <c r="C29" s="19"/>
      <c r="D29" s="1"/>
      <c r="E29" s="1"/>
      <c r="F29" s="2" t="str">
        <f>IF(E29="", "", VLOOKUP(E29, GradingTable!$A$2:$B$14, 2, FALSE))</f>
        <v/>
      </c>
      <c r="G29" s="20" t="str">
        <f t="shared" ref="G29:G37" si="2">IF(AND(ISNUMBER(D29),ISNUMBER(F29)),D29*F29,"")</f>
        <v/>
      </c>
      <c r="H29" s="15"/>
      <c r="I29" s="19"/>
      <c r="J29" s="1"/>
      <c r="K29" s="1"/>
      <c r="L29" s="2" t="str">
        <f>IF(K29="", "", VLOOKUP(K29, GradingTable!$A$2:$B$14, 2, FALSE))</f>
        <v/>
      </c>
      <c r="M29" s="20" t="str">
        <f t="shared" ref="M29:M37" si="3">IF(AND(ISNUMBER(J29),ISNUMBER(L29)),J29*L29,"")</f>
        <v/>
      </c>
      <c r="N29" s="29"/>
      <c r="O29" s="11"/>
      <c r="P29" s="12"/>
    </row>
    <row r="30" spans="2:16" ht="15" thickBot="1">
      <c r="B30" s="13"/>
      <c r="C30" s="19"/>
      <c r="D30" s="1"/>
      <c r="E30" s="1"/>
      <c r="F30" s="2" t="str">
        <f>IF(E30="", "", VLOOKUP(E30, GradingTable!$A$2:$B$14, 2, FALSE))</f>
        <v/>
      </c>
      <c r="G30" s="20" t="str">
        <f t="shared" si="2"/>
        <v/>
      </c>
      <c r="H30" s="15"/>
      <c r="I30" s="19"/>
      <c r="J30" s="1"/>
      <c r="K30" s="1"/>
      <c r="L30" s="2" t="str">
        <f>IF(K30="", "", VLOOKUP(K30, GradingTable!$A$2:$B$14, 2, FALSE))</f>
        <v/>
      </c>
      <c r="M30" s="20" t="str">
        <f t="shared" si="3"/>
        <v/>
      </c>
      <c r="N30" s="29"/>
      <c r="O30" s="11"/>
      <c r="P30" s="12"/>
    </row>
    <row r="31" spans="2:16">
      <c r="B31" s="13"/>
      <c r="C31" s="19"/>
      <c r="D31" s="1"/>
      <c r="E31" s="1"/>
      <c r="F31" s="2" t="str">
        <f>IF(E31="", "", VLOOKUP(E31, GradingTable!$A$2:$B$14, 2, FALSE))</f>
        <v/>
      </c>
      <c r="G31" s="20" t="str">
        <f t="shared" si="2"/>
        <v/>
      </c>
      <c r="H31" s="15"/>
      <c r="I31" s="19"/>
      <c r="J31" s="1"/>
      <c r="K31" s="1"/>
      <c r="L31" s="2" t="str">
        <f>IF(K31="", "", VLOOKUP(K31, GradingTable!$A$2:$B$14, 2, FALSE))</f>
        <v/>
      </c>
      <c r="M31" s="20" t="str">
        <f t="shared" si="3"/>
        <v/>
      </c>
      <c r="N31" s="29"/>
      <c r="O31" s="48" t="s">
        <v>28</v>
      </c>
      <c r="P31" s="12"/>
    </row>
    <row r="32" spans="2:16">
      <c r="B32" s="13"/>
      <c r="C32" s="19"/>
      <c r="D32" s="1"/>
      <c r="E32" s="1"/>
      <c r="F32" s="2" t="str">
        <f>IF(E32="", "", VLOOKUP(E32, GradingTable!$A$2:$B$14, 2, FALSE))</f>
        <v/>
      </c>
      <c r="G32" s="20" t="str">
        <f t="shared" si="2"/>
        <v/>
      </c>
      <c r="H32" s="15"/>
      <c r="I32" s="19"/>
      <c r="J32" s="1"/>
      <c r="K32" s="1"/>
      <c r="L32" s="2" t="str">
        <f>IF(K32="", "", VLOOKUP(K32, GradingTable!$A$2:$B$14, 2, FALSE))</f>
        <v/>
      </c>
      <c r="M32" s="20" t="str">
        <f t="shared" si="3"/>
        <v/>
      </c>
      <c r="N32" s="29"/>
      <c r="O32" s="47">
        <f>SUM(F39+L39)</f>
        <v>0</v>
      </c>
      <c r="P32" s="32"/>
    </row>
    <row r="33" spans="2:16" ht="15" thickBot="1">
      <c r="B33" s="13"/>
      <c r="C33" s="19"/>
      <c r="D33" s="1"/>
      <c r="E33" s="1"/>
      <c r="F33" s="2" t="str">
        <f>IF(E33="", "", VLOOKUP(E33, GradingTable!$A$2:$B$14, 2, FALSE))</f>
        <v/>
      </c>
      <c r="G33" s="20" t="str">
        <f t="shared" si="2"/>
        <v/>
      </c>
      <c r="H33" s="15"/>
      <c r="I33" s="19"/>
      <c r="J33" s="1"/>
      <c r="K33" s="1"/>
      <c r="L33" s="2" t="str">
        <f>IF(K33="", "", VLOOKUP(K33, GradingTable!$A$2:$B$14, 2, FALSE))</f>
        <v/>
      </c>
      <c r="M33" s="20" t="str">
        <f t="shared" si="3"/>
        <v/>
      </c>
      <c r="N33" s="29"/>
      <c r="O33" s="11"/>
      <c r="P33" s="33"/>
    </row>
    <row r="34" spans="2:16">
      <c r="B34" s="13"/>
      <c r="C34" s="19"/>
      <c r="D34" s="1"/>
      <c r="E34" s="1"/>
      <c r="F34" s="2" t="str">
        <f>IF(E34="", "", VLOOKUP(E34, GradingTable!$A$2:$B$14, 2, FALSE))</f>
        <v/>
      </c>
      <c r="G34" s="20" t="str">
        <f t="shared" si="2"/>
        <v/>
      </c>
      <c r="H34" s="15"/>
      <c r="I34" s="19"/>
      <c r="J34" s="1"/>
      <c r="K34" s="1"/>
      <c r="L34" s="2" t="str">
        <f>IF(K34="", "", VLOOKUP(K34, GradingTable!$A$2:$B$14, 2, FALSE))</f>
        <v/>
      </c>
      <c r="M34" s="20" t="str">
        <f t="shared" si="3"/>
        <v/>
      </c>
      <c r="N34" s="29"/>
      <c r="O34" s="48" t="s">
        <v>29</v>
      </c>
      <c r="P34" s="12"/>
    </row>
    <row r="35" spans="2:16">
      <c r="B35" s="13"/>
      <c r="C35" s="19"/>
      <c r="D35" s="1"/>
      <c r="E35" s="1"/>
      <c r="F35" s="2" t="str">
        <f>IF(E35="", "", VLOOKUP(E35, GradingTable!$A$2:$B$14, 2, FALSE))</f>
        <v/>
      </c>
      <c r="G35" s="20" t="str">
        <f t="shared" si="2"/>
        <v/>
      </c>
      <c r="H35" s="15"/>
      <c r="I35" s="19"/>
      <c r="J35" s="1"/>
      <c r="K35" s="1"/>
      <c r="L35" s="2" t="str">
        <f>IF(K35="", "", VLOOKUP(K35, GradingTable!$A$2:$B$14, 2, FALSE))</f>
        <v/>
      </c>
      <c r="M35" s="20" t="str">
        <f t="shared" si="3"/>
        <v/>
      </c>
      <c r="N35" s="29"/>
      <c r="O35" s="39">
        <f>IFERROR(
  (IF(ISNUMBER(F39*F40), F39*F40, 0) +
   IF(ISNUMBER(L39*L40), L39*L40, 0))
  /
  (IF(ISNUMBER(F39), F39, 0) +
   IF(ISNUMBER(L39), L39, 0)),
  0)</f>
        <v>0</v>
      </c>
      <c r="P35" s="12"/>
    </row>
    <row r="36" spans="2:16">
      <c r="B36" s="13"/>
      <c r="C36" s="19"/>
      <c r="D36" s="1"/>
      <c r="E36" s="1"/>
      <c r="F36" s="2" t="str">
        <f>IF(E36="", "", VLOOKUP(E36, GradingTable!$A$2:$B$14, 2, FALSE))</f>
        <v/>
      </c>
      <c r="G36" s="20" t="str">
        <f t="shared" si="2"/>
        <v/>
      </c>
      <c r="H36" s="15"/>
      <c r="I36" s="19"/>
      <c r="J36" s="1"/>
      <c r="K36" s="1"/>
      <c r="L36" s="2" t="str">
        <f>IF(K36="", "", VLOOKUP(K36, GradingTable!$A$2:$B$14, 2, FALSE))</f>
        <v/>
      </c>
      <c r="M36" s="20" t="str">
        <f t="shared" si="3"/>
        <v/>
      </c>
      <c r="N36" s="29"/>
      <c r="O36" s="11"/>
      <c r="P36" s="12"/>
    </row>
    <row r="37" spans="2:16" ht="15" thickBot="1">
      <c r="B37" s="13"/>
      <c r="C37" s="19"/>
      <c r="D37" s="1"/>
      <c r="E37" s="1"/>
      <c r="F37" s="21" t="str">
        <f>IF(E37="", "", VLOOKUP(E37, GradingTable!$A$2:$B$14, 2, FALSE))</f>
        <v/>
      </c>
      <c r="G37" s="22" t="str">
        <f t="shared" si="2"/>
        <v/>
      </c>
      <c r="H37" s="15"/>
      <c r="I37" s="19"/>
      <c r="J37" s="1"/>
      <c r="K37" s="1"/>
      <c r="L37" s="21" t="str">
        <f>IF(K37="", "", VLOOKUP(K37, GradingTable!$A$2:$B$14, 2, FALSE))</f>
        <v/>
      </c>
      <c r="M37" s="22" t="str">
        <f t="shared" si="3"/>
        <v/>
      </c>
      <c r="N37" s="29"/>
      <c r="O37" s="11"/>
      <c r="P37" s="12"/>
    </row>
    <row r="38" spans="2:16" ht="15" thickBot="1">
      <c r="B38" s="13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29"/>
      <c r="O38" s="11"/>
      <c r="P38" s="12"/>
    </row>
    <row r="39" spans="2:16">
      <c r="B39" s="13"/>
      <c r="C39" s="11"/>
      <c r="D39" s="79" t="s">
        <v>23</v>
      </c>
      <c r="E39" s="80"/>
      <c r="F39" s="34">
        <f>SUM(D29:D38)</f>
        <v>0</v>
      </c>
      <c r="G39" s="15"/>
      <c r="H39" s="15"/>
      <c r="I39" s="11"/>
      <c r="J39" s="79" t="s">
        <v>23</v>
      </c>
      <c r="K39" s="80"/>
      <c r="L39" s="34">
        <f>SUM(J29:J38)</f>
        <v>0</v>
      </c>
      <c r="M39" s="15"/>
      <c r="N39" s="29"/>
      <c r="O39" s="11"/>
      <c r="P39" s="12"/>
    </row>
    <row r="40" spans="2:16">
      <c r="B40" s="13"/>
      <c r="C40" s="11"/>
      <c r="D40" s="73" t="s">
        <v>24</v>
      </c>
      <c r="E40" s="73"/>
      <c r="F40" s="40" t="str">
        <f>IF(F39=0, "", SUM(G29:G38)/F39)</f>
        <v/>
      </c>
      <c r="G40" s="15"/>
      <c r="H40" s="15"/>
      <c r="I40" s="11"/>
      <c r="J40" s="73" t="s">
        <v>24</v>
      </c>
      <c r="K40" s="73"/>
      <c r="L40" s="40" t="str">
        <f>IF(L39=0, "", SUM(M29:M38)/L39)</f>
        <v/>
      </c>
      <c r="M40" s="15"/>
      <c r="N40" s="29"/>
      <c r="O40" s="11"/>
      <c r="P40" s="12"/>
    </row>
    <row r="41" spans="2:16" ht="15" thickBot="1">
      <c r="B41" s="1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2"/>
      <c r="O41" s="11"/>
      <c r="P41" s="12"/>
    </row>
    <row r="42" spans="2:16" ht="21.75" customHeight="1" thickBot="1">
      <c r="B42" s="74" t="s">
        <v>30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36"/>
    </row>
    <row r="43" spans="2:16" ht="15" thickBot="1"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8"/>
      <c r="O43" s="11"/>
      <c r="P43" s="12"/>
    </row>
    <row r="44" spans="2:16">
      <c r="B44" s="13"/>
      <c r="C44" s="76" t="s">
        <v>31</v>
      </c>
      <c r="D44" s="77"/>
      <c r="E44" s="77"/>
      <c r="F44" s="77"/>
      <c r="G44" s="78"/>
      <c r="H44" s="14"/>
      <c r="I44" s="76" t="s">
        <v>32</v>
      </c>
      <c r="J44" s="77"/>
      <c r="K44" s="77"/>
      <c r="L44" s="77"/>
      <c r="M44" s="78"/>
      <c r="N44" s="29"/>
      <c r="O44" s="11"/>
      <c r="P44" s="12"/>
    </row>
    <row r="45" spans="2:16">
      <c r="B45" s="13"/>
      <c r="C45" s="23" t="s">
        <v>11</v>
      </c>
      <c r="D45" s="24" t="s">
        <v>12</v>
      </c>
      <c r="E45" s="24" t="s">
        <v>13</v>
      </c>
      <c r="F45" s="24" t="s">
        <v>14</v>
      </c>
      <c r="G45" s="25" t="s">
        <v>15</v>
      </c>
      <c r="H45" s="14"/>
      <c r="I45" s="23" t="s">
        <v>11</v>
      </c>
      <c r="J45" s="24" t="s">
        <v>12</v>
      </c>
      <c r="K45" s="24" t="s">
        <v>13</v>
      </c>
      <c r="L45" s="24" t="s">
        <v>14</v>
      </c>
      <c r="M45" s="25" t="s">
        <v>15</v>
      </c>
      <c r="N45" s="29"/>
      <c r="O45" s="11"/>
      <c r="P45" s="12"/>
    </row>
    <row r="46" spans="2:16">
      <c r="B46" s="13"/>
      <c r="C46" s="19"/>
      <c r="D46" s="1"/>
      <c r="E46" s="1"/>
      <c r="F46" s="2" t="str">
        <f>IF(E46="", "", VLOOKUP(E46, GradingTable!$A$2:$B$14, 2, FALSE))</f>
        <v/>
      </c>
      <c r="G46" s="20" t="str">
        <f t="shared" ref="G46:G54" si="4">IF(AND(ISNUMBER(D46),ISNUMBER(F46)),D46*F46,"")</f>
        <v/>
      </c>
      <c r="H46" s="15"/>
      <c r="I46" s="19"/>
      <c r="J46" s="1"/>
      <c r="K46" s="1"/>
      <c r="L46" s="2" t="str">
        <f>IF(K46="", "", VLOOKUP(K46, GradingTable!$A$2:$B$14, 2, FALSE))</f>
        <v/>
      </c>
      <c r="M46" s="20" t="str">
        <f t="shared" ref="M46:M54" si="5">IF(AND(ISNUMBER(J46),ISNUMBER(L46)),J46*L46,"")</f>
        <v/>
      </c>
      <c r="N46" s="29"/>
      <c r="O46" s="11"/>
      <c r="P46" s="12"/>
    </row>
    <row r="47" spans="2:16" ht="15" thickBot="1">
      <c r="B47" s="13"/>
      <c r="C47" s="19"/>
      <c r="D47" s="1"/>
      <c r="E47" s="1"/>
      <c r="F47" s="2" t="str">
        <f>IF(E47="", "", VLOOKUP(E47, GradingTable!$A$2:$B$14, 2, FALSE))</f>
        <v/>
      </c>
      <c r="G47" s="20" t="str">
        <f t="shared" si="4"/>
        <v/>
      </c>
      <c r="H47" s="15"/>
      <c r="I47" s="19"/>
      <c r="J47" s="1"/>
      <c r="K47" s="1"/>
      <c r="L47" s="2" t="str">
        <f>IF(K47="", "", VLOOKUP(K47, GradingTable!$A$2:$B$14, 2, FALSE))</f>
        <v/>
      </c>
      <c r="M47" s="20" t="str">
        <f t="shared" si="5"/>
        <v/>
      </c>
      <c r="N47" s="29"/>
      <c r="O47" s="11"/>
      <c r="P47" s="12"/>
    </row>
    <row r="48" spans="2:16">
      <c r="B48" s="13"/>
      <c r="C48" s="19"/>
      <c r="D48" s="1"/>
      <c r="E48" s="1"/>
      <c r="F48" s="2" t="str">
        <f>IF(E48="", "", VLOOKUP(E48, GradingTable!$A$2:$B$14, 2, FALSE))</f>
        <v/>
      </c>
      <c r="G48" s="20" t="str">
        <f t="shared" si="4"/>
        <v/>
      </c>
      <c r="H48" s="15"/>
      <c r="I48" s="19"/>
      <c r="J48" s="1"/>
      <c r="K48" s="1"/>
      <c r="L48" s="2" t="str">
        <f>IF(K48="", "", VLOOKUP(K48, GradingTable!$A$2:$B$14, 2, FALSE))</f>
        <v/>
      </c>
      <c r="M48" s="20" t="str">
        <f t="shared" si="5"/>
        <v/>
      </c>
      <c r="N48" s="29"/>
      <c r="O48" s="48" t="s">
        <v>33</v>
      </c>
      <c r="P48" s="12"/>
    </row>
    <row r="49" spans="2:16">
      <c r="B49" s="13"/>
      <c r="C49" s="19"/>
      <c r="D49" s="1"/>
      <c r="E49" s="1"/>
      <c r="F49" s="2" t="str">
        <f>IF(E49="", "", VLOOKUP(E49, GradingTable!$A$2:$B$14, 2, FALSE))</f>
        <v/>
      </c>
      <c r="G49" s="20" t="str">
        <f t="shared" si="4"/>
        <v/>
      </c>
      <c r="H49" s="15"/>
      <c r="I49" s="19"/>
      <c r="J49" s="1"/>
      <c r="K49" s="1"/>
      <c r="L49" s="2" t="str">
        <f>IF(K49="", "", VLOOKUP(K49, GradingTable!$A$2:$B$14, 2, FALSE))</f>
        <v/>
      </c>
      <c r="M49" s="20" t="str">
        <f t="shared" si="5"/>
        <v/>
      </c>
      <c r="N49" s="29"/>
      <c r="O49" s="47">
        <f>SUM(F56+L56)</f>
        <v>0</v>
      </c>
      <c r="P49" s="32"/>
    </row>
    <row r="50" spans="2:16" ht="15" thickBot="1">
      <c r="B50" s="13"/>
      <c r="C50" s="19"/>
      <c r="D50" s="1"/>
      <c r="E50" s="1"/>
      <c r="F50" s="2" t="str">
        <f>IF(E50="", "", VLOOKUP(E50, GradingTable!$A$2:$B$14, 2, FALSE))</f>
        <v/>
      </c>
      <c r="G50" s="20" t="str">
        <f t="shared" si="4"/>
        <v/>
      </c>
      <c r="H50" s="15"/>
      <c r="I50" s="19"/>
      <c r="J50" s="1"/>
      <c r="K50" s="1"/>
      <c r="L50" s="2" t="str">
        <f>IF(K50="", "", VLOOKUP(K50, GradingTable!$A$2:$B$14, 2, FALSE))</f>
        <v/>
      </c>
      <c r="M50" s="20" t="str">
        <f t="shared" si="5"/>
        <v/>
      </c>
      <c r="N50" s="29"/>
      <c r="O50" s="11"/>
      <c r="P50" s="33"/>
    </row>
    <row r="51" spans="2:16">
      <c r="B51" s="13"/>
      <c r="C51" s="19"/>
      <c r="D51" s="1"/>
      <c r="E51" s="1"/>
      <c r="F51" s="2" t="str">
        <f>IF(E51="", "", VLOOKUP(E51, GradingTable!$A$2:$B$14, 2, FALSE))</f>
        <v/>
      </c>
      <c r="G51" s="20" t="str">
        <f t="shared" si="4"/>
        <v/>
      </c>
      <c r="H51" s="15"/>
      <c r="I51" s="19"/>
      <c r="J51" s="1"/>
      <c r="K51" s="1"/>
      <c r="L51" s="2" t="str">
        <f>IF(K51="", "", VLOOKUP(K51, GradingTable!$A$2:$B$14, 2, FALSE))</f>
        <v/>
      </c>
      <c r="M51" s="20" t="str">
        <f t="shared" si="5"/>
        <v/>
      </c>
      <c r="N51" s="29"/>
      <c r="O51" s="48" t="s">
        <v>34</v>
      </c>
      <c r="P51" s="12"/>
    </row>
    <row r="52" spans="2:16">
      <c r="B52" s="13"/>
      <c r="C52" s="19"/>
      <c r="D52" s="1"/>
      <c r="E52" s="1"/>
      <c r="F52" s="2" t="str">
        <f>IF(E52="", "", VLOOKUP(E52, GradingTable!$A$2:$B$14, 2, FALSE))</f>
        <v/>
      </c>
      <c r="G52" s="20" t="str">
        <f t="shared" si="4"/>
        <v/>
      </c>
      <c r="H52" s="15"/>
      <c r="I52" s="19"/>
      <c r="J52" s="1"/>
      <c r="K52" s="1"/>
      <c r="L52" s="2" t="str">
        <f>IF(K52="", "", VLOOKUP(K52, GradingTable!$A$2:$B$14, 2, FALSE))</f>
        <v/>
      </c>
      <c r="M52" s="20" t="str">
        <f t="shared" si="5"/>
        <v/>
      </c>
      <c r="N52" s="29"/>
      <c r="O52" s="39">
        <f>IFERROR(
  (IF(ISNUMBER(F56*F57), F56*F57, 0) +
   IF(ISNUMBER(L56*L57), L56*L57, 0))
  /
  (IF(ISNUMBER(F56), F56, 0) +
   IF(ISNUMBER(L56), L56, 0)),
  0)</f>
        <v>0</v>
      </c>
      <c r="P52" s="12"/>
    </row>
    <row r="53" spans="2:16">
      <c r="B53" s="13"/>
      <c r="C53" s="19"/>
      <c r="D53" s="1"/>
      <c r="E53" s="1"/>
      <c r="F53" s="2" t="str">
        <f>IF(E53="", "", VLOOKUP(E53, GradingTable!$A$2:$B$14, 2, FALSE))</f>
        <v/>
      </c>
      <c r="G53" s="20" t="str">
        <f t="shared" si="4"/>
        <v/>
      </c>
      <c r="H53" s="15"/>
      <c r="I53" s="19"/>
      <c r="J53" s="1"/>
      <c r="K53" s="1"/>
      <c r="L53" s="2" t="str">
        <f>IF(K53="", "", VLOOKUP(K53, GradingTable!$A$2:$B$14, 2, FALSE))</f>
        <v/>
      </c>
      <c r="M53" s="20" t="str">
        <f t="shared" si="5"/>
        <v/>
      </c>
      <c r="N53" s="29"/>
      <c r="O53" s="11"/>
      <c r="P53" s="12"/>
    </row>
    <row r="54" spans="2:16" ht="15" thickBot="1">
      <c r="B54" s="13"/>
      <c r="C54" s="19"/>
      <c r="D54" s="1"/>
      <c r="E54" s="1"/>
      <c r="F54" s="21" t="str">
        <f>IF(E54="", "", VLOOKUP(E54, GradingTable!$A$2:$B$14, 2, FALSE))</f>
        <v/>
      </c>
      <c r="G54" s="22" t="str">
        <f t="shared" si="4"/>
        <v/>
      </c>
      <c r="H54" s="15"/>
      <c r="I54" s="19"/>
      <c r="J54" s="1"/>
      <c r="K54" s="1"/>
      <c r="L54" s="21" t="str">
        <f>IF(K54="", "", VLOOKUP(K54, GradingTable!$A$2:$B$14, 2, FALSE))</f>
        <v/>
      </c>
      <c r="M54" s="22" t="str">
        <f t="shared" si="5"/>
        <v/>
      </c>
      <c r="N54" s="29"/>
      <c r="O54" s="11"/>
      <c r="P54" s="12"/>
    </row>
    <row r="55" spans="2:16" ht="15" thickBot="1">
      <c r="B55" s="38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1"/>
      <c r="O55" s="12"/>
      <c r="P55" s="12"/>
    </row>
    <row r="56" spans="2:16">
      <c r="B56" s="38"/>
      <c r="C56" s="15"/>
      <c r="D56" s="79" t="s">
        <v>23</v>
      </c>
      <c r="E56" s="80"/>
      <c r="F56" s="34">
        <f>SUM(D46:D55)</f>
        <v>0</v>
      </c>
      <c r="G56" s="15"/>
      <c r="H56" s="15"/>
      <c r="I56" s="15"/>
      <c r="J56" s="79" t="s">
        <v>23</v>
      </c>
      <c r="K56" s="80"/>
      <c r="L56" s="34">
        <f>SUM(J46:J55)</f>
        <v>0</v>
      </c>
      <c r="M56" s="15"/>
      <c r="N56" s="11"/>
      <c r="O56" s="11"/>
      <c r="P56" s="12"/>
    </row>
    <row r="57" spans="2:16">
      <c r="B57" s="38"/>
      <c r="C57" s="15"/>
      <c r="D57" s="73" t="s">
        <v>24</v>
      </c>
      <c r="E57" s="73"/>
      <c r="F57" s="40" t="str">
        <f>IF(F56=0, "", SUM(G46:G55)/F56)</f>
        <v/>
      </c>
      <c r="G57" s="15"/>
      <c r="H57" s="15"/>
      <c r="I57" s="15"/>
      <c r="J57" s="73" t="s">
        <v>24</v>
      </c>
      <c r="K57" s="73"/>
      <c r="L57" s="40" t="str">
        <f>IF(L56=0, "", SUM(M46:M55)/L56)</f>
        <v/>
      </c>
      <c r="M57" s="15"/>
      <c r="N57" s="12"/>
      <c r="O57" s="12"/>
      <c r="P57" s="12"/>
    </row>
    <row r="58" spans="2:16" ht="15" thickBot="1">
      <c r="B58" s="13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2"/>
      <c r="O58" s="11"/>
      <c r="P58" s="12"/>
    </row>
    <row r="59" spans="2:16" ht="21.75" customHeight="1" thickBot="1">
      <c r="B59" s="74" t="s">
        <v>35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36"/>
    </row>
    <row r="60" spans="2:16" ht="15" thickBot="1">
      <c r="B60" s="26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8"/>
      <c r="O60" s="11"/>
      <c r="P60" s="12"/>
    </row>
    <row r="61" spans="2:16">
      <c r="B61" s="13"/>
      <c r="C61" s="76" t="s">
        <v>36</v>
      </c>
      <c r="D61" s="77"/>
      <c r="E61" s="77"/>
      <c r="F61" s="77"/>
      <c r="G61" s="78"/>
      <c r="H61" s="14"/>
      <c r="I61" s="76" t="s">
        <v>37</v>
      </c>
      <c r="J61" s="77"/>
      <c r="K61" s="77"/>
      <c r="L61" s="77"/>
      <c r="M61" s="78"/>
      <c r="N61" s="29"/>
      <c r="O61" s="11"/>
      <c r="P61" s="12"/>
    </row>
    <row r="62" spans="2:16">
      <c r="B62" s="13"/>
      <c r="C62" s="23" t="s">
        <v>11</v>
      </c>
      <c r="D62" s="24" t="s">
        <v>12</v>
      </c>
      <c r="E62" s="24" t="s">
        <v>13</v>
      </c>
      <c r="F62" s="24" t="s">
        <v>14</v>
      </c>
      <c r="G62" s="25" t="s">
        <v>15</v>
      </c>
      <c r="H62" s="14"/>
      <c r="I62" s="23" t="s">
        <v>11</v>
      </c>
      <c r="J62" s="24" t="s">
        <v>12</v>
      </c>
      <c r="K62" s="24" t="s">
        <v>13</v>
      </c>
      <c r="L62" s="24" t="s">
        <v>14</v>
      </c>
      <c r="M62" s="25" t="s">
        <v>15</v>
      </c>
      <c r="N62" s="29"/>
      <c r="O62" s="11"/>
      <c r="P62" s="12"/>
    </row>
    <row r="63" spans="2:16">
      <c r="B63" s="13"/>
      <c r="C63" s="19"/>
      <c r="D63" s="1"/>
      <c r="E63" s="1"/>
      <c r="F63" s="2" t="str">
        <f>IF(E63="", "", VLOOKUP(E63, GradingTable!$A$2:$B$14, 2, FALSE))</f>
        <v/>
      </c>
      <c r="G63" s="20" t="str">
        <f t="shared" ref="G63:G71" si="6">IF(AND(ISNUMBER(D63),ISNUMBER(F63)),D63*F63,"")</f>
        <v/>
      </c>
      <c r="H63" s="15"/>
      <c r="I63" s="19"/>
      <c r="J63" s="1"/>
      <c r="K63" s="1"/>
      <c r="L63" s="2" t="str">
        <f>IF(K63="", "", VLOOKUP(K63, GradingTable!$A$2:$B$14, 2, FALSE))</f>
        <v/>
      </c>
      <c r="M63" s="20" t="str">
        <f t="shared" ref="M63:M71" si="7">IF(AND(ISNUMBER(J63),ISNUMBER(L63)),J63*L63,"")</f>
        <v/>
      </c>
      <c r="N63" s="29"/>
      <c r="O63" s="11"/>
      <c r="P63" s="12"/>
    </row>
    <row r="64" spans="2:16" ht="15" thickBot="1">
      <c r="B64" s="13"/>
      <c r="C64" s="19"/>
      <c r="D64" s="1"/>
      <c r="E64" s="1"/>
      <c r="F64" s="2" t="str">
        <f>IF(E64="", "", VLOOKUP(E64, GradingTable!$A$2:$B$14, 2, FALSE))</f>
        <v/>
      </c>
      <c r="G64" s="20" t="str">
        <f t="shared" si="6"/>
        <v/>
      </c>
      <c r="H64" s="15"/>
      <c r="I64" s="19"/>
      <c r="J64" s="1"/>
      <c r="K64" s="1"/>
      <c r="L64" s="2" t="str">
        <f>IF(K64="", "", VLOOKUP(K64, GradingTable!$A$2:$B$14, 2, FALSE))</f>
        <v/>
      </c>
      <c r="M64" s="20" t="str">
        <f t="shared" si="7"/>
        <v/>
      </c>
      <c r="N64" s="29"/>
      <c r="O64" s="11"/>
      <c r="P64" s="12"/>
    </row>
    <row r="65" spans="2:16">
      <c r="B65" s="13"/>
      <c r="C65" s="19"/>
      <c r="D65" s="1"/>
      <c r="E65" s="1"/>
      <c r="F65" s="2" t="str">
        <f>IF(E65="", "", VLOOKUP(E65, GradingTable!$A$2:$B$14, 2, FALSE))</f>
        <v/>
      </c>
      <c r="G65" s="20" t="str">
        <f t="shared" si="6"/>
        <v/>
      </c>
      <c r="H65" s="15"/>
      <c r="I65" s="19"/>
      <c r="J65" s="1"/>
      <c r="K65" s="1"/>
      <c r="L65" s="2" t="str">
        <f>IF(K65="", "", VLOOKUP(K65, GradingTable!$A$2:$B$14, 2, FALSE))</f>
        <v/>
      </c>
      <c r="M65" s="20" t="str">
        <f t="shared" si="7"/>
        <v/>
      </c>
      <c r="N65" s="29"/>
      <c r="O65" s="48" t="s">
        <v>38</v>
      </c>
      <c r="P65" s="12"/>
    </row>
    <row r="66" spans="2:16">
      <c r="B66" s="13"/>
      <c r="C66" s="19"/>
      <c r="D66" s="1"/>
      <c r="E66" s="1"/>
      <c r="F66" s="2" t="str">
        <f>IF(E66="", "", VLOOKUP(E66, GradingTable!$A$2:$B$14, 2, FALSE))</f>
        <v/>
      </c>
      <c r="G66" s="20" t="str">
        <f t="shared" si="6"/>
        <v/>
      </c>
      <c r="H66" s="15"/>
      <c r="I66" s="19"/>
      <c r="J66" s="1"/>
      <c r="K66" s="1"/>
      <c r="L66" s="2" t="str">
        <f>IF(K66="", "", VLOOKUP(K66, GradingTable!$A$2:$B$14, 2, FALSE))</f>
        <v/>
      </c>
      <c r="M66" s="20" t="str">
        <f t="shared" si="7"/>
        <v/>
      </c>
      <c r="N66" s="29"/>
      <c r="O66" s="47">
        <f>SUM(F73+L73)</f>
        <v>0</v>
      </c>
      <c r="P66" s="32"/>
    </row>
    <row r="67" spans="2:16" ht="15" thickBot="1">
      <c r="B67" s="13"/>
      <c r="C67" s="19"/>
      <c r="D67" s="1"/>
      <c r="E67" s="1"/>
      <c r="F67" s="2" t="str">
        <f>IF(E67="", "", VLOOKUP(E67, GradingTable!$A$2:$B$14, 2, FALSE))</f>
        <v/>
      </c>
      <c r="G67" s="20" t="str">
        <f t="shared" si="6"/>
        <v/>
      </c>
      <c r="H67" s="15"/>
      <c r="I67" s="19"/>
      <c r="J67" s="1"/>
      <c r="K67" s="1"/>
      <c r="L67" s="2" t="str">
        <f>IF(K67="", "", VLOOKUP(K67, GradingTable!$A$2:$B$14, 2, FALSE))</f>
        <v/>
      </c>
      <c r="M67" s="20" t="str">
        <f t="shared" si="7"/>
        <v/>
      </c>
      <c r="N67" s="29"/>
      <c r="O67" s="11"/>
      <c r="P67" s="33"/>
    </row>
    <row r="68" spans="2:16">
      <c r="B68" s="13"/>
      <c r="C68" s="19"/>
      <c r="D68" s="1"/>
      <c r="E68" s="1"/>
      <c r="F68" s="2" t="str">
        <f>IF(E68="", "", VLOOKUP(E68, GradingTable!$A$2:$B$14, 2, FALSE))</f>
        <v/>
      </c>
      <c r="G68" s="20" t="str">
        <f t="shared" si="6"/>
        <v/>
      </c>
      <c r="H68" s="15"/>
      <c r="I68" s="19"/>
      <c r="J68" s="1"/>
      <c r="K68" s="1"/>
      <c r="L68" s="2" t="str">
        <f>IF(K68="", "", VLOOKUP(K68, GradingTable!$A$2:$B$14, 2, FALSE))</f>
        <v/>
      </c>
      <c r="M68" s="20" t="str">
        <f t="shared" si="7"/>
        <v/>
      </c>
      <c r="N68" s="29"/>
      <c r="O68" s="48" t="s">
        <v>39</v>
      </c>
      <c r="P68" s="12"/>
    </row>
    <row r="69" spans="2:16">
      <c r="B69" s="13"/>
      <c r="C69" s="19"/>
      <c r="D69" s="1"/>
      <c r="E69" s="1"/>
      <c r="F69" s="2" t="str">
        <f>IF(E69="", "", VLOOKUP(E69, GradingTable!$A$2:$B$14, 2, FALSE))</f>
        <v/>
      </c>
      <c r="G69" s="20" t="str">
        <f t="shared" si="6"/>
        <v/>
      </c>
      <c r="H69" s="15"/>
      <c r="I69" s="19"/>
      <c r="J69" s="1"/>
      <c r="K69" s="1"/>
      <c r="L69" s="2" t="str">
        <f>IF(K69="", "", VLOOKUP(K69, GradingTable!$A$2:$B$14, 2, FALSE))</f>
        <v/>
      </c>
      <c r="M69" s="20" t="str">
        <f t="shared" si="7"/>
        <v/>
      </c>
      <c r="N69" s="29"/>
      <c r="O69" s="39">
        <f>IFERROR(
  (IF(ISNUMBER(F73*F74), F73*F74, 0) +
   IF(ISNUMBER(L73*L74), L73*L74, 0))
  /
  (IF(ISNUMBER(F73), F73, 0) +
   IF(ISNUMBER(L73), L73, 0)),
  0)</f>
        <v>0</v>
      </c>
      <c r="P69" s="12"/>
    </row>
    <row r="70" spans="2:16">
      <c r="B70" s="13"/>
      <c r="C70" s="19"/>
      <c r="D70" s="1"/>
      <c r="E70" s="1"/>
      <c r="F70" s="2" t="str">
        <f>IF(E70="", "", VLOOKUP(E70, GradingTable!$A$2:$B$14, 2, FALSE))</f>
        <v/>
      </c>
      <c r="G70" s="20" t="str">
        <f t="shared" si="6"/>
        <v/>
      </c>
      <c r="H70" s="15"/>
      <c r="I70" s="19"/>
      <c r="J70" s="1"/>
      <c r="K70" s="1"/>
      <c r="L70" s="2" t="str">
        <f>IF(K70="", "", VLOOKUP(K70, GradingTable!$A$2:$B$14, 2, FALSE))</f>
        <v/>
      </c>
      <c r="M70" s="20" t="str">
        <f t="shared" si="7"/>
        <v/>
      </c>
      <c r="N70" s="29"/>
      <c r="O70" s="11"/>
      <c r="P70" s="12"/>
    </row>
    <row r="71" spans="2:16" ht="15" thickBot="1">
      <c r="B71" s="13"/>
      <c r="C71" s="19"/>
      <c r="D71" s="1"/>
      <c r="E71" s="1"/>
      <c r="F71" s="21" t="str">
        <f>IF(E71="", "", VLOOKUP(E71, GradingTable!$A$2:$B$14, 2, FALSE))</f>
        <v/>
      </c>
      <c r="G71" s="22" t="str">
        <f t="shared" si="6"/>
        <v/>
      </c>
      <c r="H71" s="15"/>
      <c r="I71" s="19"/>
      <c r="J71" s="1"/>
      <c r="K71" s="1"/>
      <c r="L71" s="21" t="str">
        <f>IF(K71="", "", VLOOKUP(K71, GradingTable!$A$2:$B$14, 2, FALSE))</f>
        <v/>
      </c>
      <c r="M71" s="22" t="str">
        <f t="shared" si="7"/>
        <v/>
      </c>
      <c r="N71" s="29"/>
      <c r="O71" s="11"/>
      <c r="P71" s="12"/>
    </row>
    <row r="72" spans="2:16" ht="15" thickBot="1">
      <c r="B72" s="13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1"/>
      <c r="O72" s="12"/>
      <c r="P72" s="12"/>
    </row>
    <row r="73" spans="2:16">
      <c r="B73" s="13"/>
      <c r="C73" s="15"/>
      <c r="D73" s="79" t="s">
        <v>23</v>
      </c>
      <c r="E73" s="80"/>
      <c r="F73" s="34">
        <f>SUM(D63:D72)</f>
        <v>0</v>
      </c>
      <c r="G73" s="15"/>
      <c r="H73" s="15"/>
      <c r="I73" s="15"/>
      <c r="J73" s="79" t="s">
        <v>23</v>
      </c>
      <c r="K73" s="80"/>
      <c r="L73" s="34">
        <f>SUM(J63:J72)</f>
        <v>0</v>
      </c>
      <c r="M73" s="15"/>
      <c r="N73" s="11"/>
      <c r="O73" s="11"/>
      <c r="P73" s="12"/>
    </row>
    <row r="74" spans="2:16">
      <c r="B74" s="13"/>
      <c r="C74" s="15"/>
      <c r="D74" s="73" t="s">
        <v>24</v>
      </c>
      <c r="E74" s="73"/>
      <c r="F74" s="40" t="str">
        <f>IF(F73=0, "", SUM(G63:G72)/F73)</f>
        <v/>
      </c>
      <c r="G74" s="15"/>
      <c r="H74" s="15"/>
      <c r="I74" s="15"/>
      <c r="J74" s="73" t="s">
        <v>24</v>
      </c>
      <c r="K74" s="73"/>
      <c r="L74" s="40" t="str">
        <f>IF(L73=0, "", SUM(M63:M72)/L73)</f>
        <v/>
      </c>
      <c r="M74" s="15"/>
      <c r="N74" s="12"/>
      <c r="O74" s="12"/>
      <c r="P74" s="12"/>
    </row>
    <row r="75" spans="2:16" ht="15" thickBot="1">
      <c r="B75" s="30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31"/>
      <c r="O75" s="27"/>
      <c r="P75" s="31"/>
    </row>
    <row r="76" spans="2:16" s="3" customFormat="1"/>
    <row r="77" spans="2:16" s="3" customFormat="1"/>
    <row r="78" spans="2:16" s="3" customFormat="1"/>
    <row r="79" spans="2:16" s="3" customFormat="1"/>
    <row r="80" spans="2:16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3" customFormat="1"/>
    <row r="88" s="3" customFormat="1"/>
    <row r="89" s="3" customFormat="1"/>
    <row r="90" s="3" customFormat="1"/>
    <row r="91" s="3" customFormat="1"/>
    <row r="92" s="3" customFormat="1"/>
    <row r="93" s="3" customFormat="1"/>
    <row r="94" s="3" customFormat="1"/>
    <row r="95" s="3" customFormat="1"/>
    <row r="9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/>
    <row r="122" s="3" customFormat="1"/>
    <row r="123" s="3" customFormat="1"/>
    <row r="124" s="3" customFormat="1"/>
    <row r="125" s="3" customFormat="1"/>
    <row r="126" s="3" customFormat="1"/>
    <row r="127" s="3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="3" customFormat="1"/>
    <row r="162" s="3" customFormat="1"/>
    <row r="163" s="3" customFormat="1"/>
    <row r="164" s="3" customFormat="1"/>
    <row r="165" s="3" customFormat="1"/>
    <row r="166" s="3" customFormat="1"/>
    <row r="167" s="3" customFormat="1"/>
    <row r="168" s="3" customFormat="1"/>
    <row r="169" s="3" customFormat="1"/>
    <row r="170" s="3" customFormat="1"/>
    <row r="171" s="3" customFormat="1"/>
    <row r="172" s="3" customFormat="1"/>
    <row r="173" s="3" customFormat="1"/>
    <row r="174" s="3" customFormat="1"/>
    <row r="175" s="3" customFormat="1"/>
    <row r="176" s="3" customFormat="1"/>
    <row r="177" s="3" customFormat="1"/>
    <row r="178" s="3" customFormat="1"/>
    <row r="179" s="3" customFormat="1"/>
    <row r="180" s="3" customFormat="1"/>
    <row r="181" s="3" customFormat="1"/>
    <row r="182" s="3" customFormat="1"/>
    <row r="183" s="3" customFormat="1"/>
    <row r="184" s="3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3" customFormat="1"/>
    <row r="193" s="3" customFormat="1"/>
    <row r="194" s="3" customFormat="1"/>
    <row r="195" s="3" customFormat="1"/>
    <row r="196" s="3" customFormat="1"/>
    <row r="197" s="3" customFormat="1"/>
    <row r="198" s="3" customFormat="1"/>
    <row r="199" s="3" customFormat="1"/>
    <row r="200" s="3" customFormat="1"/>
    <row r="201" s="3" customFormat="1"/>
    <row r="202" s="3" customFormat="1"/>
    <row r="203" s="3" customFormat="1"/>
    <row r="204" s="3" customFormat="1"/>
    <row r="205" s="3" customFormat="1"/>
    <row r="206" s="3" customFormat="1"/>
    <row r="207" s="3" customFormat="1"/>
    <row r="208" s="3" customFormat="1"/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3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3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3" customFormat="1"/>
    <row r="238" s="3" customFormat="1"/>
    <row r="239" s="3" customFormat="1"/>
    <row r="240" s="3" customFormat="1"/>
    <row r="241" s="3" customFormat="1"/>
    <row r="242" s="3" customFormat="1"/>
    <row r="243" s="3" customFormat="1"/>
    <row r="244" s="3" customFormat="1"/>
    <row r="245" s="3" customFormat="1"/>
    <row r="246" s="3" customFormat="1"/>
    <row r="247" s="3" customFormat="1"/>
    <row r="248" s="3" customFormat="1"/>
    <row r="249" s="3" customFormat="1"/>
    <row r="250" s="3" customFormat="1"/>
    <row r="251" s="3" customFormat="1"/>
    <row r="252" s="3" customFormat="1"/>
    <row r="253" s="3" customFormat="1"/>
    <row r="254" s="3" customFormat="1"/>
    <row r="255" s="3" customFormat="1"/>
    <row r="256" s="3" customFormat="1"/>
    <row r="257" s="3" customFormat="1"/>
    <row r="258" s="3" customFormat="1"/>
    <row r="259" s="3" customFormat="1"/>
    <row r="260" s="3" customFormat="1"/>
    <row r="261" s="3" customFormat="1"/>
    <row r="262" s="3" customFormat="1"/>
    <row r="263" s="3" customFormat="1"/>
    <row r="264" s="3" customFormat="1"/>
    <row r="265" s="3" customFormat="1"/>
    <row r="266" s="3" customFormat="1"/>
    <row r="267" s="3" customFormat="1"/>
    <row r="268" s="3" customFormat="1"/>
    <row r="269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6" s="3" customFormat="1"/>
    <row r="277" s="3" customFormat="1"/>
    <row r="278" s="3" customFormat="1"/>
    <row r="279" s="3" customFormat="1"/>
    <row r="280" s="3" customFormat="1"/>
    <row r="281" s="3" customFormat="1"/>
    <row r="282" s="3" customFormat="1"/>
    <row r="283" s="3" customFormat="1"/>
    <row r="284" s="3" customFormat="1"/>
    <row r="285" s="3" customFormat="1"/>
    <row r="286" s="3" customFormat="1"/>
    <row r="287" s="3" customFormat="1"/>
    <row r="288" s="3" customFormat="1"/>
    <row r="289" s="3" customFormat="1"/>
    <row r="290" s="3" customFormat="1"/>
    <row r="291" s="3" customFormat="1"/>
    <row r="292" s="3" customFormat="1"/>
    <row r="293" s="3" customFormat="1"/>
    <row r="294" s="3" customFormat="1"/>
    <row r="295" s="3" customFormat="1"/>
    <row r="296" s="3" customFormat="1"/>
    <row r="297" s="3" customFormat="1"/>
    <row r="298" s="3" customFormat="1"/>
    <row r="299" s="3" customFormat="1"/>
    <row r="300" s="3" customFormat="1"/>
    <row r="301" s="3" customFormat="1"/>
    <row r="302" s="3" customFormat="1"/>
    <row r="303" s="3" customFormat="1"/>
    <row r="304" s="3" customFormat="1"/>
    <row r="305" s="3" customFormat="1"/>
    <row r="306" s="3" customFormat="1"/>
    <row r="307" s="3" customFormat="1"/>
    <row r="308" s="3" customFormat="1"/>
    <row r="309" s="3" customFormat="1"/>
    <row r="310" s="3" customFormat="1"/>
    <row r="311" s="3" customFormat="1"/>
    <row r="312" s="3" customFormat="1"/>
    <row r="313" s="3" customFormat="1"/>
    <row r="314" s="3" customFormat="1"/>
    <row r="315" s="3" customFormat="1"/>
    <row r="316" s="3" customFormat="1"/>
    <row r="317" s="3" customFormat="1"/>
    <row r="318" s="3" customFormat="1"/>
    <row r="319" s="3" customFormat="1"/>
    <row r="320" s="3" customFormat="1"/>
  </sheetData>
  <sheetProtection algorithmName="SHA-512" hashValue="7ljUwIBREaIGTjkAAbw5kf7BxHBMUzKV9drNqN6L1bZLmdKrWnVjgkvLf+ftL19JjqNumx9LoPMRPXduSdIS+w==" saltValue="a0uHYa86gmiR0KtTEQRSwQ==" spinCount="100000" sheet="1" objects="1" scenarios="1"/>
  <mergeCells count="37">
    <mergeCell ref="B42:O42"/>
    <mergeCell ref="D74:E74"/>
    <mergeCell ref="J74:K74"/>
    <mergeCell ref="C44:G44"/>
    <mergeCell ref="I44:M44"/>
    <mergeCell ref="D56:E56"/>
    <mergeCell ref="J56:K56"/>
    <mergeCell ref="D57:E57"/>
    <mergeCell ref="J57:K57"/>
    <mergeCell ref="B59:O59"/>
    <mergeCell ref="C61:G61"/>
    <mergeCell ref="I61:M61"/>
    <mergeCell ref="D73:E73"/>
    <mergeCell ref="J73:K73"/>
    <mergeCell ref="D40:E40"/>
    <mergeCell ref="J40:K40"/>
    <mergeCell ref="B8:O8"/>
    <mergeCell ref="C10:G10"/>
    <mergeCell ref="I10:M10"/>
    <mergeCell ref="D22:E22"/>
    <mergeCell ref="J22:K22"/>
    <mergeCell ref="D23:E23"/>
    <mergeCell ref="J23:K23"/>
    <mergeCell ref="B25:O25"/>
    <mergeCell ref="C27:G27"/>
    <mergeCell ref="I27:M27"/>
    <mergeCell ref="D39:E39"/>
    <mergeCell ref="J39:K39"/>
    <mergeCell ref="C3:D3"/>
    <mergeCell ref="F3:J3"/>
    <mergeCell ref="L3:M3"/>
    <mergeCell ref="F4:J4"/>
    <mergeCell ref="C5:C6"/>
    <mergeCell ref="D5:D6"/>
    <mergeCell ref="F5:J6"/>
    <mergeCell ref="L5:L6"/>
    <mergeCell ref="M5:M6"/>
  </mergeCells>
  <dataValidations count="1">
    <dataValidation type="list" allowBlank="1" showInputMessage="1" showErrorMessage="1" sqref="E46:E54 E63:E71 K46:K54 X12:X20 AD12:AD20 AJ12:AJ20 AP12:AP20 AV12:AV20 K12:K20 K29:K37 E29:E37 E12:E20 K63:K71" xr:uid="{A2C0F089-FE03-4ECD-9D18-8A9325D8AA41}">
      <formula1>"A+,A,A-,B+,B,B-,C+,C,C-,D+,D,F"</formula1>
    </dataValidation>
  </dataValidation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C061-2F98-49D5-A0F9-83C097139260}">
  <sheetPr codeName="Sheet2">
    <tabColor theme="8" tint="-0.249977111117893"/>
  </sheetPr>
  <dimension ref="A1:ACW320"/>
  <sheetViews>
    <sheetView zoomScale="103" zoomScaleNormal="400" workbookViewId="0">
      <pane ySplit="7" topLeftCell="A8" activePane="bottomLeft" state="frozen"/>
      <selection pane="bottomLeft" activeCell="F15" sqref="F15"/>
    </sheetView>
  </sheetViews>
  <sheetFormatPr defaultRowHeight="14.4"/>
  <cols>
    <col min="1" max="1" width="33.88671875" style="3" customWidth="1"/>
    <col min="2" max="2" width="15.44140625" customWidth="1"/>
    <col min="3" max="3" width="20" customWidth="1"/>
    <col min="4" max="5" width="8.33203125" customWidth="1"/>
    <col min="6" max="7" width="12" customWidth="1"/>
    <col min="8" max="8" width="2" customWidth="1"/>
    <col min="9" max="9" width="19.44140625" customWidth="1"/>
    <col min="10" max="10" width="12" customWidth="1"/>
    <col min="11" max="12" width="8.33203125" customWidth="1"/>
    <col min="13" max="13" width="19" customWidth="1"/>
    <col min="14" max="14" width="4" customWidth="1"/>
    <col min="15" max="15" width="13.88671875" customWidth="1"/>
    <col min="16" max="16" width="2" customWidth="1"/>
    <col min="17" max="20" width="12" style="3" customWidth="1"/>
    <col min="21" max="21" width="2" style="3" customWidth="1"/>
    <col min="22" max="26" width="12" style="3" customWidth="1"/>
    <col min="27" max="27" width="2" style="3" customWidth="1"/>
    <col min="28" max="32" width="12" style="3" customWidth="1"/>
    <col min="33" max="33" width="2" style="3" customWidth="1"/>
    <col min="34" max="38" width="12" style="3" customWidth="1"/>
    <col min="39" max="39" width="2" style="3" customWidth="1"/>
    <col min="40" max="44" width="12" style="3" customWidth="1"/>
    <col min="45" max="45" width="2" style="3" customWidth="1"/>
    <col min="46" max="50" width="12" style="3" customWidth="1"/>
    <col min="51" max="777" width="9.109375" style="3"/>
  </cols>
  <sheetData>
    <row r="1" spans="2:16" s="3" customFormat="1" ht="15" thickBot="1"/>
    <row r="2" spans="2:16" ht="15" thickBot="1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2:16" ht="33.75" customHeight="1" thickBot="1">
      <c r="B3" s="18"/>
      <c r="C3" s="49" t="s">
        <v>0</v>
      </c>
      <c r="D3" s="50"/>
      <c r="E3" s="16"/>
      <c r="F3" s="51" t="s">
        <v>1</v>
      </c>
      <c r="G3" s="52"/>
      <c r="H3" s="52"/>
      <c r="I3" s="52"/>
      <c r="J3" s="53"/>
      <c r="K3" s="16"/>
      <c r="L3" s="54" t="s">
        <v>2</v>
      </c>
      <c r="M3" s="55"/>
      <c r="N3" s="4"/>
      <c r="O3" s="4"/>
      <c r="P3" s="9"/>
    </row>
    <row r="4" spans="2:16" ht="25.5" customHeight="1" thickBot="1">
      <c r="B4" s="18"/>
      <c r="C4" s="45" t="s">
        <v>3</v>
      </c>
      <c r="D4" s="46">
        <f>F22+L22+F39+L39+F56+L56+F73+L73+F90+L90</f>
        <v>8</v>
      </c>
      <c r="E4" s="17"/>
      <c r="F4" s="56" t="s">
        <v>4</v>
      </c>
      <c r="G4" s="57"/>
      <c r="H4" s="57"/>
      <c r="I4" s="57"/>
      <c r="J4" s="58"/>
      <c r="K4" s="17"/>
      <c r="L4" s="43">
        <f>F22+L22+F39+L39+F56+L56+F73+L73+F90+L90</f>
        <v>8</v>
      </c>
      <c r="M4" s="44" t="s">
        <v>5</v>
      </c>
      <c r="N4" s="4"/>
      <c r="O4" s="4"/>
      <c r="P4" s="9"/>
    </row>
    <row r="5" spans="2:16" ht="27" customHeight="1">
      <c r="B5" s="8"/>
      <c r="C5" s="59" t="s">
        <v>6</v>
      </c>
      <c r="D5" s="61">
        <f>IFERROR(
  (IF(ISNUMBER(F22*F23), F22*F23, 0) +
   IF(ISNUMBER(L22*L23), L22*L23, 0) +
   IF(ISNUMBER(F39*F40), F39*F40, 0) +
   IF(ISNUMBER(L39*L40), L39*L40, 0) +
   IF(ISNUMBER(F56*F57), F56*F57, 0) +
   IF(ISNUMBER(L56*L57), L56*L57, 0) +
   IF(ISNUMBER(F73*F74), F73*F74, 0) +
   IF(ISNUMBER(L73*L74), L73*L74, 0) +
   IF(ISNUMBER(F90*F91), F90*F91, 0) +
   IF(ISNUMBER(L90*L91), L90*L91, 0))
  /
  (IF(ISNUMBER(F22), F22, 0) +
   IF(ISNUMBER(L22), L22, 0) +
   IF(ISNUMBER(F39), F39, 0) +
   IF(ISNUMBER(L39), L39, 0) +
   IF(ISNUMBER(F56), F56, 0) +
   IF(ISNUMBER(L56), L56, 0) +
   IF(ISNUMBER(F73), F73, 0) +
   IF(ISNUMBER(L73), L73, 0) +
   IF(ISNUMBER(F90), F90, 0) +
   IF(ISNUMBER(L90), L90, 0)),
  0)</f>
        <v>3.8250000000000002</v>
      </c>
      <c r="E5" s="37"/>
      <c r="F5" s="63"/>
      <c r="G5" s="64"/>
      <c r="H5" s="64"/>
      <c r="I5" s="64"/>
      <c r="J5" s="65"/>
      <c r="K5" s="41"/>
      <c r="L5" s="69">
        <f>IFERROR(
  (IF(ISNUMBER(F22*F23), F22*F23, 0) +
   IF(ISNUMBER(L22*L23), L22*L23, 0) +
   IF(ISNUMBER(F39*F40), F39*F40, 0) +
   IF(ISNUMBER(L39*L40), L39*L40, 0) +
   IF(ISNUMBER(F56*F57), F56*F57, 0) +
   IF(ISNUMBER(L56*L57), L56*L57, 0) +
   IF(ISNUMBER(F73*F74), F73*F74, 0) +
   IF(ISNUMBER(L73*L74), L73*L74, 0) +
   IF(ISNUMBER(F90*F91), F90*F91, 0) +
   IF(ISNUMBER(L90*L91), L90*L91, 0))
  /
  (IF(ISNUMBER(F22), F22, 0) +
   IF(ISNUMBER(L22), L22, 0) +
   IF(ISNUMBER(F39), F39, 0) +
   IF(ISNUMBER(L39), L39, 0) +
   IF(ISNUMBER(F56), F56, 0) +
   IF(ISNUMBER(L56), L56, 0) +
   IF(ISNUMBER(F73), F73, 0) +
   IF(ISNUMBER(L73), L73, 0) +
   IF(ISNUMBER(F90), F90, 0) +
   IF(ISNUMBER(L90), L90, 0)),
  0)</f>
        <v>3.8250000000000002</v>
      </c>
      <c r="M5" s="71" t="s">
        <v>7</v>
      </c>
      <c r="N5" s="4"/>
      <c r="O5" s="4"/>
      <c r="P5" s="9"/>
    </row>
    <row r="6" spans="2:16" ht="24" customHeight="1" thickBot="1">
      <c r="B6" s="8"/>
      <c r="C6" s="60"/>
      <c r="D6" s="62"/>
      <c r="E6" s="10"/>
      <c r="F6" s="66"/>
      <c r="G6" s="67"/>
      <c r="H6" s="67"/>
      <c r="I6" s="67"/>
      <c r="J6" s="68"/>
      <c r="K6" s="42"/>
      <c r="L6" s="70"/>
      <c r="M6" s="72"/>
      <c r="N6" s="4"/>
      <c r="O6" s="4"/>
      <c r="P6" s="9"/>
    </row>
    <row r="7" spans="2:16" ht="15" thickBot="1">
      <c r="B7" s="1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9"/>
    </row>
    <row r="8" spans="2:16" ht="21.75" customHeight="1">
      <c r="B8" s="74" t="s">
        <v>8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35"/>
    </row>
    <row r="9" spans="2:16" ht="15" thickBot="1">
      <c r="B9" s="26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8"/>
      <c r="O9" s="11"/>
      <c r="P9" s="12"/>
    </row>
    <row r="10" spans="2:16">
      <c r="B10" s="13"/>
      <c r="C10" s="76" t="s">
        <v>9</v>
      </c>
      <c r="D10" s="77"/>
      <c r="E10" s="77"/>
      <c r="F10" s="77"/>
      <c r="G10" s="78"/>
      <c r="H10" s="14"/>
      <c r="I10" s="76" t="s">
        <v>10</v>
      </c>
      <c r="J10" s="77"/>
      <c r="K10" s="77"/>
      <c r="L10" s="77"/>
      <c r="M10" s="78"/>
      <c r="N10" s="29"/>
      <c r="O10" s="11"/>
      <c r="P10" s="12"/>
    </row>
    <row r="11" spans="2:16">
      <c r="B11" s="13"/>
      <c r="C11" s="23" t="s">
        <v>11</v>
      </c>
      <c r="D11" s="24" t="s">
        <v>12</v>
      </c>
      <c r="E11" s="24" t="s">
        <v>13</v>
      </c>
      <c r="F11" s="24" t="s">
        <v>14</v>
      </c>
      <c r="G11" s="25" t="s">
        <v>15</v>
      </c>
      <c r="H11" s="14"/>
      <c r="I11" s="23" t="s">
        <v>11</v>
      </c>
      <c r="J11" s="24" t="s">
        <v>12</v>
      </c>
      <c r="K11" s="24" t="s">
        <v>13</v>
      </c>
      <c r="L11" s="24" t="s">
        <v>14</v>
      </c>
      <c r="M11" s="25" t="s">
        <v>15</v>
      </c>
      <c r="N11" s="29"/>
      <c r="O11" s="11"/>
      <c r="P11" s="12"/>
    </row>
    <row r="12" spans="2:16">
      <c r="B12" s="13"/>
      <c r="C12" s="19" t="s">
        <v>16</v>
      </c>
      <c r="D12" s="1">
        <v>3</v>
      </c>
      <c r="E12" s="1" t="s">
        <v>17</v>
      </c>
      <c r="F12" s="2">
        <f>IF(E12="", "", VLOOKUP(E12, GradingTable!$A$2:$B$14, 2, FALSE))</f>
        <v>4</v>
      </c>
      <c r="G12" s="20">
        <f t="shared" ref="G12:G20" si="0">IF(AND(ISNUMBER(D12),ISNUMBER(F12)),D12*F12,"")</f>
        <v>12</v>
      </c>
      <c r="H12" s="15"/>
      <c r="I12" s="19" t="s">
        <v>16</v>
      </c>
      <c r="J12" s="1">
        <v>3</v>
      </c>
      <c r="K12" s="1" t="s">
        <v>17</v>
      </c>
      <c r="L12" s="2">
        <f>IF(K12="", "", VLOOKUP(K12, GradingTable!$A$2:$B$14, 2, FALSE))</f>
        <v>4</v>
      </c>
      <c r="M12" s="20">
        <f t="shared" ref="M12:M20" si="1">IF(AND(ISNUMBER(J12),ISNUMBER(L12)),J12*L12,"")</f>
        <v>12</v>
      </c>
      <c r="N12" s="29"/>
      <c r="O12" s="11"/>
      <c r="P12" s="12"/>
    </row>
    <row r="13" spans="2:16" ht="15" thickBot="1">
      <c r="B13" s="13"/>
      <c r="C13" s="19" t="s">
        <v>19</v>
      </c>
      <c r="D13" s="1">
        <v>2</v>
      </c>
      <c r="E13" s="1" t="s">
        <v>20</v>
      </c>
      <c r="F13" s="2">
        <f>IF(E13="", "", VLOOKUP(E13, GradingTable!$A$2:$B$14, 2, FALSE))</f>
        <v>3.3</v>
      </c>
      <c r="G13" s="20">
        <f t="shared" si="0"/>
        <v>6.6</v>
      </c>
      <c r="H13" s="15"/>
      <c r="I13" s="19"/>
      <c r="J13" s="1"/>
      <c r="K13" s="1"/>
      <c r="L13" s="2" t="str">
        <f>IF(K13="", "", VLOOKUP(K13, GradingTable!$A$2:$B$14, 2, FALSE))</f>
        <v/>
      </c>
      <c r="M13" s="20" t="str">
        <f t="shared" si="1"/>
        <v/>
      </c>
      <c r="N13" s="29"/>
      <c r="O13" s="11"/>
      <c r="P13" s="12"/>
    </row>
    <row r="14" spans="2:16">
      <c r="B14" s="13"/>
      <c r="C14" s="19"/>
      <c r="D14" s="1"/>
      <c r="E14" s="1"/>
      <c r="F14" s="2" t="str">
        <f>IF(E14="", "", VLOOKUP(E14, GradingTable!$A$2:$B$14, 2, FALSE))</f>
        <v/>
      </c>
      <c r="G14" s="20" t="str">
        <f t="shared" si="0"/>
        <v/>
      </c>
      <c r="H14" s="15"/>
      <c r="I14" s="19"/>
      <c r="J14" s="1"/>
      <c r="K14" s="1"/>
      <c r="L14" s="2" t="str">
        <f>IF(K14="", "", VLOOKUP(K14, GradingTable!$A$2:$B$14, 2, FALSE))</f>
        <v/>
      </c>
      <c r="M14" s="20" t="str">
        <f t="shared" si="1"/>
        <v/>
      </c>
      <c r="N14" s="29"/>
      <c r="O14" s="48" t="s">
        <v>21</v>
      </c>
      <c r="P14" s="12"/>
    </row>
    <row r="15" spans="2:16">
      <c r="B15" s="13"/>
      <c r="C15" s="19"/>
      <c r="D15" s="1"/>
      <c r="E15" s="1"/>
      <c r="F15" s="2" t="str">
        <f>IF(E15="", "", VLOOKUP(E15, GradingTable!$A$2:$B$14, 2, FALSE))</f>
        <v/>
      </c>
      <c r="G15" s="20" t="str">
        <f t="shared" si="0"/>
        <v/>
      </c>
      <c r="H15" s="15"/>
      <c r="I15" s="19"/>
      <c r="J15" s="1"/>
      <c r="K15" s="1"/>
      <c r="L15" s="2" t="str">
        <f>IF(K15="", "", VLOOKUP(K15, GradingTable!$A$2:$B$14, 2, FALSE))</f>
        <v/>
      </c>
      <c r="M15" s="20" t="str">
        <f t="shared" si="1"/>
        <v/>
      </c>
      <c r="N15" s="29"/>
      <c r="O15" s="47">
        <f>SUM(F22+L22)</f>
        <v>8</v>
      </c>
      <c r="P15" s="32"/>
    </row>
    <row r="16" spans="2:16" ht="15" thickBot="1">
      <c r="B16" s="13"/>
      <c r="C16" s="19"/>
      <c r="D16" s="1"/>
      <c r="E16" s="1"/>
      <c r="F16" s="2" t="str">
        <f>IF(E16="", "", VLOOKUP(E16, GradingTable!$A$2:$B$14, 2, FALSE))</f>
        <v/>
      </c>
      <c r="G16" s="20" t="str">
        <f t="shared" si="0"/>
        <v/>
      </c>
      <c r="H16" s="15"/>
      <c r="I16" s="19"/>
      <c r="J16" s="1"/>
      <c r="K16" s="1"/>
      <c r="L16" s="2" t="str">
        <f>IF(K16="", "", VLOOKUP(K16, GradingTable!$A$2:$B$14, 2, FALSE))</f>
        <v/>
      </c>
      <c r="M16" s="20" t="str">
        <f t="shared" si="1"/>
        <v/>
      </c>
      <c r="N16" s="29"/>
      <c r="O16" s="11"/>
      <c r="P16" s="33"/>
    </row>
    <row r="17" spans="2:16">
      <c r="B17" s="13"/>
      <c r="C17" s="19"/>
      <c r="D17" s="1"/>
      <c r="E17" s="1"/>
      <c r="F17" s="2" t="str">
        <f>IF(E17="", "", VLOOKUP(E17, GradingTable!$A$2:$B$14, 2, FALSE))</f>
        <v/>
      </c>
      <c r="G17" s="20" t="str">
        <f t="shared" si="0"/>
        <v/>
      </c>
      <c r="H17" s="15"/>
      <c r="I17" s="19"/>
      <c r="J17" s="1"/>
      <c r="K17" s="1"/>
      <c r="L17" s="2" t="str">
        <f>IF(K17="", "", VLOOKUP(K17, GradingTable!$A$2:$B$14, 2, FALSE))</f>
        <v/>
      </c>
      <c r="M17" s="20" t="str">
        <f t="shared" si="1"/>
        <v/>
      </c>
      <c r="N17" s="29"/>
      <c r="O17" s="48" t="s">
        <v>22</v>
      </c>
      <c r="P17" s="12"/>
    </row>
    <row r="18" spans="2:16">
      <c r="B18" s="13"/>
      <c r="C18" s="19"/>
      <c r="D18" s="1"/>
      <c r="E18" s="1"/>
      <c r="F18" s="2" t="str">
        <f>IF(E18="", "", VLOOKUP(E18, GradingTable!$A$2:$B$14, 2, FALSE))</f>
        <v/>
      </c>
      <c r="G18" s="20" t="str">
        <f t="shared" si="0"/>
        <v/>
      </c>
      <c r="H18" s="15"/>
      <c r="I18" s="19"/>
      <c r="J18" s="1"/>
      <c r="K18" s="1"/>
      <c r="L18" s="2" t="str">
        <f>IF(K18="", "", VLOOKUP(K18, GradingTable!$A$2:$B$14, 2, FALSE))</f>
        <v/>
      </c>
      <c r="M18" s="20" t="str">
        <f t="shared" si="1"/>
        <v/>
      </c>
      <c r="N18" s="29"/>
      <c r="O18" s="39">
        <f>IFERROR(
  (IF(ISNUMBER(F22*F23), F22*F23, 0) +
   IF(ISNUMBER(L22*L23), L22*L23, 0))
  /
  (IF(ISNUMBER(F22), F22, 0) +
   IF(ISNUMBER(L22), L22, 0)),
  0)</f>
        <v>3.8250000000000002</v>
      </c>
      <c r="P18" s="12"/>
    </row>
    <row r="19" spans="2:16">
      <c r="B19" s="13"/>
      <c r="C19" s="19"/>
      <c r="D19" s="1"/>
      <c r="E19" s="1"/>
      <c r="F19" s="2" t="str">
        <f>IF(E19="", "", VLOOKUP(E19, GradingTable!$A$2:$B$14, 2, FALSE))</f>
        <v/>
      </c>
      <c r="G19" s="20" t="str">
        <f t="shared" si="0"/>
        <v/>
      </c>
      <c r="H19" s="15"/>
      <c r="I19" s="19"/>
      <c r="J19" s="1"/>
      <c r="K19" s="1"/>
      <c r="L19" s="2" t="str">
        <f>IF(K19="", "", VLOOKUP(K19, GradingTable!$A$2:$B$14, 2, FALSE))</f>
        <v/>
      </c>
      <c r="M19" s="20" t="str">
        <f t="shared" si="1"/>
        <v/>
      </c>
      <c r="N19" s="29"/>
      <c r="O19" s="11"/>
      <c r="P19" s="12"/>
    </row>
    <row r="20" spans="2:16" ht="15" thickBot="1">
      <c r="B20" s="13"/>
      <c r="C20" s="19"/>
      <c r="D20" s="1"/>
      <c r="E20" s="1"/>
      <c r="F20" s="21" t="str">
        <f>IF(E20="", "", VLOOKUP(E20, GradingTable!$A$2:$B$14, 2, FALSE))</f>
        <v/>
      </c>
      <c r="G20" s="22" t="str">
        <f t="shared" si="0"/>
        <v/>
      </c>
      <c r="H20" s="15"/>
      <c r="I20" s="19"/>
      <c r="J20" s="1"/>
      <c r="K20" s="1"/>
      <c r="L20" s="21" t="str">
        <f>IF(K20="", "", VLOOKUP(K20, GradingTable!$A$2:$B$14, 2, FALSE))</f>
        <v/>
      </c>
      <c r="M20" s="22" t="str">
        <f t="shared" si="1"/>
        <v/>
      </c>
      <c r="N20" s="29"/>
      <c r="O20" s="11"/>
      <c r="P20" s="12"/>
    </row>
    <row r="21" spans="2:16" ht="15" thickBot="1">
      <c r="B21" s="13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29"/>
      <c r="O21" s="11"/>
      <c r="P21" s="12"/>
    </row>
    <row r="22" spans="2:16">
      <c r="B22" s="13"/>
      <c r="C22" s="11"/>
      <c r="D22" s="79" t="s">
        <v>23</v>
      </c>
      <c r="E22" s="80"/>
      <c r="F22" s="34">
        <f>SUM(D12:D21)</f>
        <v>5</v>
      </c>
      <c r="G22" s="15"/>
      <c r="H22" s="15"/>
      <c r="I22" s="11"/>
      <c r="J22" s="79" t="s">
        <v>23</v>
      </c>
      <c r="K22" s="80"/>
      <c r="L22" s="34">
        <f>SUM(J12:J21)</f>
        <v>3</v>
      </c>
      <c r="M22" s="15"/>
      <c r="N22" s="29"/>
      <c r="O22" s="11"/>
      <c r="P22" s="12"/>
    </row>
    <row r="23" spans="2:16">
      <c r="B23" s="13"/>
      <c r="C23" s="11"/>
      <c r="D23" s="73" t="s">
        <v>24</v>
      </c>
      <c r="E23" s="73"/>
      <c r="F23" s="40">
        <f>IF(F22=0, "", SUM(G12:G21)/F22)</f>
        <v>3.72</v>
      </c>
      <c r="G23" s="15"/>
      <c r="H23" s="15"/>
      <c r="I23" s="11"/>
      <c r="J23" s="73" t="s">
        <v>24</v>
      </c>
      <c r="K23" s="73"/>
      <c r="L23" s="40">
        <f>IF(L22=0, "", SUM(M12:M21)/L22)</f>
        <v>4</v>
      </c>
      <c r="M23" s="15"/>
      <c r="N23" s="29"/>
      <c r="O23" s="11"/>
      <c r="P23" s="12"/>
    </row>
    <row r="24" spans="2:16" ht="15" thickBot="1">
      <c r="B24" s="13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2"/>
      <c r="O24" s="11"/>
      <c r="P24" s="12"/>
    </row>
    <row r="25" spans="2:16" ht="21.75" customHeight="1" thickBot="1">
      <c r="B25" s="81" t="s">
        <v>25</v>
      </c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36"/>
    </row>
    <row r="26" spans="2:16" ht="15" thickBot="1"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8"/>
      <c r="O26" s="11"/>
      <c r="P26" s="12"/>
    </row>
    <row r="27" spans="2:16">
      <c r="B27" s="13"/>
      <c r="C27" s="76" t="s">
        <v>26</v>
      </c>
      <c r="D27" s="77"/>
      <c r="E27" s="77"/>
      <c r="F27" s="77"/>
      <c r="G27" s="78"/>
      <c r="H27" s="14"/>
      <c r="I27" s="76" t="s">
        <v>27</v>
      </c>
      <c r="J27" s="77"/>
      <c r="K27" s="77"/>
      <c r="L27" s="77"/>
      <c r="M27" s="78"/>
      <c r="N27" s="29"/>
      <c r="O27" s="11"/>
      <c r="P27" s="12"/>
    </row>
    <row r="28" spans="2:16">
      <c r="B28" s="13"/>
      <c r="C28" s="23" t="s">
        <v>11</v>
      </c>
      <c r="D28" s="24" t="s">
        <v>12</v>
      </c>
      <c r="E28" s="24" t="s">
        <v>13</v>
      </c>
      <c r="F28" s="24" t="s">
        <v>14</v>
      </c>
      <c r="G28" s="25" t="s">
        <v>15</v>
      </c>
      <c r="H28" s="14"/>
      <c r="I28" s="23" t="s">
        <v>11</v>
      </c>
      <c r="J28" s="24" t="s">
        <v>12</v>
      </c>
      <c r="K28" s="24" t="s">
        <v>13</v>
      </c>
      <c r="L28" s="24" t="s">
        <v>14</v>
      </c>
      <c r="M28" s="25" t="s">
        <v>15</v>
      </c>
      <c r="N28" s="29"/>
      <c r="O28" s="11"/>
      <c r="P28" s="12"/>
    </row>
    <row r="29" spans="2:16">
      <c r="B29" s="13"/>
      <c r="C29" s="19"/>
      <c r="D29" s="1"/>
      <c r="E29" s="1"/>
      <c r="F29" s="2" t="str">
        <f>IF(E29="", "", VLOOKUP(E29, GradingTable!$A$2:$B$14, 2, FALSE))</f>
        <v/>
      </c>
      <c r="G29" s="20" t="str">
        <f t="shared" ref="G29:G37" si="2">IF(AND(ISNUMBER(D29),ISNUMBER(F29)),D29*F29,"")</f>
        <v/>
      </c>
      <c r="H29" s="15"/>
      <c r="I29" s="19"/>
      <c r="J29" s="1"/>
      <c r="K29" s="1"/>
      <c r="L29" s="2" t="str">
        <f>IF(K29="", "", VLOOKUP(K29, GradingTable!$A$2:$B$14, 2, FALSE))</f>
        <v/>
      </c>
      <c r="M29" s="20" t="str">
        <f t="shared" ref="M29:M37" si="3">IF(AND(ISNUMBER(J29),ISNUMBER(L29)),J29*L29,"")</f>
        <v/>
      </c>
      <c r="N29" s="29"/>
      <c r="O29" s="11"/>
      <c r="P29" s="12"/>
    </row>
    <row r="30" spans="2:16" ht="15" thickBot="1">
      <c r="B30" s="13"/>
      <c r="C30" s="19"/>
      <c r="D30" s="1"/>
      <c r="E30" s="1"/>
      <c r="F30" s="2" t="str">
        <f>IF(E30="", "", VLOOKUP(E30, GradingTable!$A$2:$B$14, 2, FALSE))</f>
        <v/>
      </c>
      <c r="G30" s="20" t="str">
        <f t="shared" si="2"/>
        <v/>
      </c>
      <c r="H30" s="15"/>
      <c r="I30" s="19"/>
      <c r="J30" s="1"/>
      <c r="K30" s="1"/>
      <c r="L30" s="2" t="str">
        <f>IF(K30="", "", VLOOKUP(K30, GradingTable!$A$2:$B$14, 2, FALSE))</f>
        <v/>
      </c>
      <c r="M30" s="20" t="str">
        <f t="shared" si="3"/>
        <v/>
      </c>
      <c r="N30" s="29"/>
      <c r="O30" s="11"/>
      <c r="P30" s="12"/>
    </row>
    <row r="31" spans="2:16">
      <c r="B31" s="13"/>
      <c r="C31" s="19"/>
      <c r="D31" s="1"/>
      <c r="E31" s="1"/>
      <c r="F31" s="2" t="str">
        <f>IF(E31="", "", VLOOKUP(E31, GradingTable!$A$2:$B$14, 2, FALSE))</f>
        <v/>
      </c>
      <c r="G31" s="20" t="str">
        <f t="shared" si="2"/>
        <v/>
      </c>
      <c r="H31" s="15"/>
      <c r="I31" s="19"/>
      <c r="J31" s="1"/>
      <c r="K31" s="1"/>
      <c r="L31" s="2" t="str">
        <f>IF(K31="", "", VLOOKUP(K31, GradingTable!$A$2:$B$14, 2, FALSE))</f>
        <v/>
      </c>
      <c r="M31" s="20" t="str">
        <f t="shared" si="3"/>
        <v/>
      </c>
      <c r="N31" s="29"/>
      <c r="O31" s="48" t="s">
        <v>28</v>
      </c>
      <c r="P31" s="12"/>
    </row>
    <row r="32" spans="2:16">
      <c r="B32" s="13"/>
      <c r="C32" s="19"/>
      <c r="D32" s="1"/>
      <c r="E32" s="1"/>
      <c r="F32" s="2" t="str">
        <f>IF(E32="", "", VLOOKUP(E32, GradingTable!$A$2:$B$14, 2, FALSE))</f>
        <v/>
      </c>
      <c r="G32" s="20" t="str">
        <f t="shared" si="2"/>
        <v/>
      </c>
      <c r="H32" s="15"/>
      <c r="I32" s="19"/>
      <c r="J32" s="1"/>
      <c r="K32" s="1"/>
      <c r="L32" s="2" t="str">
        <f>IF(K32="", "", VLOOKUP(K32, GradingTable!$A$2:$B$14, 2, FALSE))</f>
        <v/>
      </c>
      <c r="M32" s="20" t="str">
        <f t="shared" si="3"/>
        <v/>
      </c>
      <c r="N32" s="29"/>
      <c r="O32" s="47">
        <f>SUM(F39+L39)</f>
        <v>0</v>
      </c>
      <c r="P32" s="32"/>
    </row>
    <row r="33" spans="2:16" ht="15" thickBot="1">
      <c r="B33" s="13"/>
      <c r="C33" s="19"/>
      <c r="D33" s="1"/>
      <c r="E33" s="1"/>
      <c r="F33" s="2" t="str">
        <f>IF(E33="", "", VLOOKUP(E33, GradingTable!$A$2:$B$14, 2, FALSE))</f>
        <v/>
      </c>
      <c r="G33" s="20" t="str">
        <f t="shared" si="2"/>
        <v/>
      </c>
      <c r="H33" s="15"/>
      <c r="I33" s="19"/>
      <c r="J33" s="1"/>
      <c r="K33" s="1"/>
      <c r="L33" s="2" t="str">
        <f>IF(K33="", "", VLOOKUP(K33, GradingTable!$A$2:$B$14, 2, FALSE))</f>
        <v/>
      </c>
      <c r="M33" s="20" t="str">
        <f t="shared" si="3"/>
        <v/>
      </c>
      <c r="N33" s="29"/>
      <c r="O33" s="11"/>
      <c r="P33" s="33"/>
    </row>
    <row r="34" spans="2:16">
      <c r="B34" s="13"/>
      <c r="C34" s="19"/>
      <c r="D34" s="1"/>
      <c r="E34" s="1"/>
      <c r="F34" s="2" t="str">
        <f>IF(E34="", "", VLOOKUP(E34, GradingTable!$A$2:$B$14, 2, FALSE))</f>
        <v/>
      </c>
      <c r="G34" s="20" t="str">
        <f t="shared" si="2"/>
        <v/>
      </c>
      <c r="H34" s="15"/>
      <c r="I34" s="19"/>
      <c r="J34" s="1"/>
      <c r="K34" s="1"/>
      <c r="L34" s="2" t="str">
        <f>IF(K34="", "", VLOOKUP(K34, GradingTable!$A$2:$B$14, 2, FALSE))</f>
        <v/>
      </c>
      <c r="M34" s="20" t="str">
        <f t="shared" si="3"/>
        <v/>
      </c>
      <c r="N34" s="29"/>
      <c r="O34" s="48" t="s">
        <v>29</v>
      </c>
      <c r="P34" s="12"/>
    </row>
    <row r="35" spans="2:16">
      <c r="B35" s="13"/>
      <c r="C35" s="19"/>
      <c r="D35" s="1"/>
      <c r="E35" s="1"/>
      <c r="F35" s="2" t="str">
        <f>IF(E35="", "", VLOOKUP(E35, GradingTable!$A$2:$B$14, 2, FALSE))</f>
        <v/>
      </c>
      <c r="G35" s="20" t="str">
        <f t="shared" si="2"/>
        <v/>
      </c>
      <c r="H35" s="15"/>
      <c r="I35" s="19"/>
      <c r="J35" s="1"/>
      <c r="K35" s="1"/>
      <c r="L35" s="2" t="str">
        <f>IF(K35="", "", VLOOKUP(K35, GradingTable!$A$2:$B$14, 2, FALSE))</f>
        <v/>
      </c>
      <c r="M35" s="20" t="str">
        <f t="shared" si="3"/>
        <v/>
      </c>
      <c r="N35" s="29"/>
      <c r="O35" s="39">
        <f>IFERROR(
  (IF(ISNUMBER(F39*F40), F39*F40, 0) +
   IF(ISNUMBER(L39*L40), L39*L40, 0))
  /
  (IF(ISNUMBER(F39), F39, 0) +
   IF(ISNUMBER(L39), L39, 0)),
  0)</f>
        <v>0</v>
      </c>
      <c r="P35" s="12"/>
    </row>
    <row r="36" spans="2:16">
      <c r="B36" s="13"/>
      <c r="C36" s="19"/>
      <c r="D36" s="1"/>
      <c r="E36" s="1"/>
      <c r="F36" s="2" t="str">
        <f>IF(E36="", "", VLOOKUP(E36, GradingTable!$A$2:$B$14, 2, FALSE))</f>
        <v/>
      </c>
      <c r="G36" s="20" t="str">
        <f t="shared" si="2"/>
        <v/>
      </c>
      <c r="H36" s="15"/>
      <c r="I36" s="19"/>
      <c r="J36" s="1"/>
      <c r="K36" s="1"/>
      <c r="L36" s="2" t="str">
        <f>IF(K36="", "", VLOOKUP(K36, GradingTable!$A$2:$B$14, 2, FALSE))</f>
        <v/>
      </c>
      <c r="M36" s="20" t="str">
        <f t="shared" si="3"/>
        <v/>
      </c>
      <c r="N36" s="29"/>
      <c r="O36" s="11"/>
      <c r="P36" s="12"/>
    </row>
    <row r="37" spans="2:16" ht="15" thickBot="1">
      <c r="B37" s="13"/>
      <c r="C37" s="19"/>
      <c r="D37" s="1"/>
      <c r="E37" s="1"/>
      <c r="F37" s="21" t="str">
        <f>IF(E37="", "", VLOOKUP(E37, GradingTable!$A$2:$B$14, 2, FALSE))</f>
        <v/>
      </c>
      <c r="G37" s="22" t="str">
        <f t="shared" si="2"/>
        <v/>
      </c>
      <c r="H37" s="15"/>
      <c r="I37" s="19"/>
      <c r="J37" s="1"/>
      <c r="K37" s="1"/>
      <c r="L37" s="21" t="str">
        <f>IF(K37="", "", VLOOKUP(K37, GradingTable!$A$2:$B$14, 2, FALSE))</f>
        <v/>
      </c>
      <c r="M37" s="22" t="str">
        <f t="shared" si="3"/>
        <v/>
      </c>
      <c r="N37" s="29"/>
      <c r="O37" s="11"/>
      <c r="P37" s="12"/>
    </row>
    <row r="38" spans="2:16" ht="15" thickBot="1">
      <c r="B38" s="13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29"/>
      <c r="O38" s="11"/>
      <c r="P38" s="12"/>
    </row>
    <row r="39" spans="2:16">
      <c r="B39" s="13"/>
      <c r="C39" s="11"/>
      <c r="D39" s="79" t="s">
        <v>23</v>
      </c>
      <c r="E39" s="80"/>
      <c r="F39" s="34">
        <f>SUM(D29:D38)</f>
        <v>0</v>
      </c>
      <c r="G39" s="15"/>
      <c r="H39" s="15"/>
      <c r="I39" s="11"/>
      <c r="J39" s="79" t="s">
        <v>23</v>
      </c>
      <c r="K39" s="80"/>
      <c r="L39" s="34">
        <f>SUM(J29:J38)</f>
        <v>0</v>
      </c>
      <c r="M39" s="15"/>
      <c r="N39" s="29"/>
      <c r="O39" s="11"/>
      <c r="P39" s="12"/>
    </row>
    <row r="40" spans="2:16">
      <c r="B40" s="13"/>
      <c r="C40" s="11"/>
      <c r="D40" s="73" t="s">
        <v>24</v>
      </c>
      <c r="E40" s="73"/>
      <c r="F40" s="40" t="str">
        <f>IF(F39=0, "", SUM(G29:G38)/F39)</f>
        <v/>
      </c>
      <c r="G40" s="15"/>
      <c r="H40" s="15"/>
      <c r="I40" s="11"/>
      <c r="J40" s="73" t="s">
        <v>24</v>
      </c>
      <c r="K40" s="73"/>
      <c r="L40" s="40" t="str">
        <f>IF(L39=0, "", SUM(M29:M38)/L39)</f>
        <v/>
      </c>
      <c r="M40" s="15"/>
      <c r="N40" s="29"/>
      <c r="O40" s="11"/>
      <c r="P40" s="12"/>
    </row>
    <row r="41" spans="2:16" ht="15" thickBot="1">
      <c r="B41" s="1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2"/>
      <c r="O41" s="11"/>
      <c r="P41" s="12"/>
    </row>
    <row r="42" spans="2:16" ht="21.75" customHeight="1" thickBot="1">
      <c r="B42" s="81" t="s">
        <v>30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36"/>
    </row>
    <row r="43" spans="2:16" ht="15" thickBot="1"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8"/>
      <c r="O43" s="11"/>
      <c r="P43" s="12"/>
    </row>
    <row r="44" spans="2:16">
      <c r="B44" s="13"/>
      <c r="C44" s="76" t="s">
        <v>31</v>
      </c>
      <c r="D44" s="77"/>
      <c r="E44" s="77"/>
      <c r="F44" s="77"/>
      <c r="G44" s="78"/>
      <c r="H44" s="14"/>
      <c r="I44" s="76" t="s">
        <v>32</v>
      </c>
      <c r="J44" s="77"/>
      <c r="K44" s="77"/>
      <c r="L44" s="77"/>
      <c r="M44" s="78"/>
      <c r="N44" s="29"/>
      <c r="O44" s="11"/>
      <c r="P44" s="12"/>
    </row>
    <row r="45" spans="2:16">
      <c r="B45" s="13"/>
      <c r="C45" s="23" t="s">
        <v>11</v>
      </c>
      <c r="D45" s="24" t="s">
        <v>12</v>
      </c>
      <c r="E45" s="24" t="s">
        <v>13</v>
      </c>
      <c r="F45" s="24" t="s">
        <v>14</v>
      </c>
      <c r="G45" s="25" t="s">
        <v>15</v>
      </c>
      <c r="H45" s="14"/>
      <c r="I45" s="23" t="s">
        <v>11</v>
      </c>
      <c r="J45" s="24" t="s">
        <v>12</v>
      </c>
      <c r="K45" s="24" t="s">
        <v>13</v>
      </c>
      <c r="L45" s="24" t="s">
        <v>14</v>
      </c>
      <c r="M45" s="25" t="s">
        <v>15</v>
      </c>
      <c r="N45" s="29"/>
      <c r="O45" s="11"/>
      <c r="P45" s="12"/>
    </row>
    <row r="46" spans="2:16">
      <c r="B46" s="13"/>
      <c r="C46" s="19"/>
      <c r="D46" s="1"/>
      <c r="E46" s="1"/>
      <c r="F46" s="2" t="str">
        <f>IF(E46="", "", VLOOKUP(E46, GradingTable!$A$2:$B$14, 2, FALSE))</f>
        <v/>
      </c>
      <c r="G46" s="20" t="str">
        <f t="shared" ref="G46:G54" si="4">IF(AND(ISNUMBER(D46),ISNUMBER(F46)),D46*F46,"")</f>
        <v/>
      </c>
      <c r="H46" s="15"/>
      <c r="I46" s="19"/>
      <c r="J46" s="1"/>
      <c r="K46" s="1"/>
      <c r="L46" s="2" t="str">
        <f>IF(K46="", "", VLOOKUP(K46, GradingTable!$A$2:$B$14, 2, FALSE))</f>
        <v/>
      </c>
      <c r="M46" s="20" t="str">
        <f t="shared" ref="M46:M54" si="5">IF(AND(ISNUMBER(J46),ISNUMBER(L46)),J46*L46,"")</f>
        <v/>
      </c>
      <c r="N46" s="29"/>
      <c r="O46" s="11"/>
      <c r="P46" s="12"/>
    </row>
    <row r="47" spans="2:16" ht="15" thickBot="1">
      <c r="B47" s="13"/>
      <c r="C47" s="19"/>
      <c r="D47" s="1"/>
      <c r="E47" s="1"/>
      <c r="F47" s="2" t="str">
        <f>IF(E47="", "", VLOOKUP(E47, GradingTable!$A$2:$B$14, 2, FALSE))</f>
        <v/>
      </c>
      <c r="G47" s="20" t="str">
        <f t="shared" si="4"/>
        <v/>
      </c>
      <c r="H47" s="15"/>
      <c r="I47" s="19"/>
      <c r="J47" s="1"/>
      <c r="K47" s="1"/>
      <c r="L47" s="2" t="str">
        <f>IF(K47="", "", VLOOKUP(K47, GradingTable!$A$2:$B$14, 2, FALSE))</f>
        <v/>
      </c>
      <c r="M47" s="20" t="str">
        <f t="shared" si="5"/>
        <v/>
      </c>
      <c r="N47" s="29"/>
      <c r="O47" s="11"/>
      <c r="P47" s="12"/>
    </row>
    <row r="48" spans="2:16">
      <c r="B48" s="13"/>
      <c r="C48" s="19"/>
      <c r="D48" s="1"/>
      <c r="E48" s="1"/>
      <c r="F48" s="2" t="str">
        <f>IF(E48="", "", VLOOKUP(E48, GradingTable!$A$2:$B$14, 2, FALSE))</f>
        <v/>
      </c>
      <c r="G48" s="20" t="str">
        <f t="shared" si="4"/>
        <v/>
      </c>
      <c r="H48" s="15"/>
      <c r="I48" s="19"/>
      <c r="J48" s="1"/>
      <c r="K48" s="1"/>
      <c r="L48" s="2" t="str">
        <f>IF(K48="", "", VLOOKUP(K48, GradingTable!$A$2:$B$14, 2, FALSE))</f>
        <v/>
      </c>
      <c r="M48" s="20" t="str">
        <f t="shared" si="5"/>
        <v/>
      </c>
      <c r="N48" s="29"/>
      <c r="O48" s="48" t="s">
        <v>33</v>
      </c>
      <c r="P48" s="12"/>
    </row>
    <row r="49" spans="2:16">
      <c r="B49" s="13"/>
      <c r="C49" s="19"/>
      <c r="D49" s="1"/>
      <c r="E49" s="1"/>
      <c r="F49" s="2" t="str">
        <f>IF(E49="", "", VLOOKUP(E49, GradingTable!$A$2:$B$14, 2, FALSE))</f>
        <v/>
      </c>
      <c r="G49" s="20" t="str">
        <f t="shared" si="4"/>
        <v/>
      </c>
      <c r="H49" s="15"/>
      <c r="I49" s="19"/>
      <c r="J49" s="1"/>
      <c r="K49" s="1"/>
      <c r="L49" s="2" t="str">
        <f>IF(K49="", "", VLOOKUP(K49, GradingTable!$A$2:$B$14, 2, FALSE))</f>
        <v/>
      </c>
      <c r="M49" s="20" t="str">
        <f t="shared" si="5"/>
        <v/>
      </c>
      <c r="N49" s="29"/>
      <c r="O49" s="47">
        <f>SUM(F56+L56)</f>
        <v>0</v>
      </c>
      <c r="P49" s="32"/>
    </row>
    <row r="50" spans="2:16" ht="15" thickBot="1">
      <c r="B50" s="13"/>
      <c r="C50" s="19"/>
      <c r="D50" s="1"/>
      <c r="E50" s="1"/>
      <c r="F50" s="2" t="str">
        <f>IF(E50="", "", VLOOKUP(E50, GradingTable!$A$2:$B$14, 2, FALSE))</f>
        <v/>
      </c>
      <c r="G50" s="20" t="str">
        <f t="shared" si="4"/>
        <v/>
      </c>
      <c r="H50" s="15"/>
      <c r="I50" s="19"/>
      <c r="J50" s="1"/>
      <c r="K50" s="1"/>
      <c r="L50" s="2" t="str">
        <f>IF(K50="", "", VLOOKUP(K50, GradingTable!$A$2:$B$14, 2, FALSE))</f>
        <v/>
      </c>
      <c r="M50" s="20" t="str">
        <f t="shared" si="5"/>
        <v/>
      </c>
      <c r="N50" s="29"/>
      <c r="O50" s="11"/>
      <c r="P50" s="33"/>
    </row>
    <row r="51" spans="2:16">
      <c r="B51" s="13"/>
      <c r="C51" s="19"/>
      <c r="D51" s="1"/>
      <c r="E51" s="1"/>
      <c r="F51" s="2" t="str">
        <f>IF(E51="", "", VLOOKUP(E51, GradingTable!$A$2:$B$14, 2, FALSE))</f>
        <v/>
      </c>
      <c r="G51" s="20" t="str">
        <f t="shared" si="4"/>
        <v/>
      </c>
      <c r="H51" s="15"/>
      <c r="I51" s="19"/>
      <c r="J51" s="1"/>
      <c r="K51" s="1"/>
      <c r="L51" s="2" t="str">
        <f>IF(K51="", "", VLOOKUP(K51, GradingTable!$A$2:$B$14, 2, FALSE))</f>
        <v/>
      </c>
      <c r="M51" s="20" t="str">
        <f t="shared" si="5"/>
        <v/>
      </c>
      <c r="N51" s="29"/>
      <c r="O51" s="48" t="s">
        <v>34</v>
      </c>
      <c r="P51" s="12"/>
    </row>
    <row r="52" spans="2:16">
      <c r="B52" s="13"/>
      <c r="C52" s="19"/>
      <c r="D52" s="1"/>
      <c r="E52" s="1"/>
      <c r="F52" s="2" t="str">
        <f>IF(E52="", "", VLOOKUP(E52, GradingTable!$A$2:$B$14, 2, FALSE))</f>
        <v/>
      </c>
      <c r="G52" s="20" t="str">
        <f t="shared" si="4"/>
        <v/>
      </c>
      <c r="H52" s="15"/>
      <c r="I52" s="19"/>
      <c r="J52" s="1"/>
      <c r="K52" s="1"/>
      <c r="L52" s="2" t="str">
        <f>IF(K52="", "", VLOOKUP(K52, GradingTable!$A$2:$B$14, 2, FALSE))</f>
        <v/>
      </c>
      <c r="M52" s="20" t="str">
        <f t="shared" si="5"/>
        <v/>
      </c>
      <c r="N52" s="29"/>
      <c r="O52" s="39">
        <f>IFERROR(
  (IF(ISNUMBER(F56*F57), F56*F57, 0) +
   IF(ISNUMBER(L56*L57), L56*L57, 0))
  /
  (IF(ISNUMBER(F56), F56, 0) +
   IF(ISNUMBER(L56), L56, 0)),
  0)</f>
        <v>0</v>
      </c>
      <c r="P52" s="12"/>
    </row>
    <row r="53" spans="2:16">
      <c r="B53" s="13"/>
      <c r="C53" s="19"/>
      <c r="D53" s="1"/>
      <c r="E53" s="1"/>
      <c r="F53" s="2" t="str">
        <f>IF(E53="", "", VLOOKUP(E53, GradingTable!$A$2:$B$14, 2, FALSE))</f>
        <v/>
      </c>
      <c r="G53" s="20" t="str">
        <f t="shared" si="4"/>
        <v/>
      </c>
      <c r="H53" s="15"/>
      <c r="I53" s="19"/>
      <c r="J53" s="1"/>
      <c r="K53" s="1"/>
      <c r="L53" s="2" t="str">
        <f>IF(K53="", "", VLOOKUP(K53, GradingTable!$A$2:$B$14, 2, FALSE))</f>
        <v/>
      </c>
      <c r="M53" s="20" t="str">
        <f t="shared" si="5"/>
        <v/>
      </c>
      <c r="N53" s="29"/>
      <c r="O53" s="11"/>
      <c r="P53" s="12"/>
    </row>
    <row r="54" spans="2:16" ht="15" thickBot="1">
      <c r="B54" s="13"/>
      <c r="C54" s="19"/>
      <c r="D54" s="1"/>
      <c r="E54" s="1"/>
      <c r="F54" s="21" t="str">
        <f>IF(E54="", "", VLOOKUP(E54, GradingTable!$A$2:$B$14, 2, FALSE))</f>
        <v/>
      </c>
      <c r="G54" s="22" t="str">
        <f t="shared" si="4"/>
        <v/>
      </c>
      <c r="H54" s="15"/>
      <c r="I54" s="19"/>
      <c r="J54" s="1"/>
      <c r="K54" s="1"/>
      <c r="L54" s="21" t="str">
        <f>IF(K54="", "", VLOOKUP(K54, GradingTable!$A$2:$B$14, 2, FALSE))</f>
        <v/>
      </c>
      <c r="M54" s="22" t="str">
        <f t="shared" si="5"/>
        <v/>
      </c>
      <c r="N54" s="29"/>
      <c r="O54" s="11"/>
      <c r="P54" s="12"/>
    </row>
    <row r="55" spans="2:16" ht="15" thickBot="1">
      <c r="B55" s="38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1"/>
      <c r="O55" s="12"/>
      <c r="P55" s="12"/>
    </row>
    <row r="56" spans="2:16">
      <c r="B56" s="38"/>
      <c r="C56" s="15"/>
      <c r="D56" s="79" t="s">
        <v>23</v>
      </c>
      <c r="E56" s="80"/>
      <c r="F56" s="34">
        <f>SUM(D46:D55)</f>
        <v>0</v>
      </c>
      <c r="G56" s="15"/>
      <c r="H56" s="15"/>
      <c r="I56" s="15"/>
      <c r="J56" s="79" t="s">
        <v>23</v>
      </c>
      <c r="K56" s="80"/>
      <c r="L56" s="34">
        <f>SUM(J46:J55)</f>
        <v>0</v>
      </c>
      <c r="M56" s="15"/>
      <c r="N56" s="11"/>
      <c r="O56" s="11"/>
      <c r="P56" s="12"/>
    </row>
    <row r="57" spans="2:16">
      <c r="B57" s="38"/>
      <c r="C57" s="15"/>
      <c r="D57" s="73" t="s">
        <v>24</v>
      </c>
      <c r="E57" s="73"/>
      <c r="F57" s="40" t="str">
        <f>IF(F56=0, "", SUM(G46:G55)/F56)</f>
        <v/>
      </c>
      <c r="G57" s="15"/>
      <c r="H57" s="15"/>
      <c r="I57" s="15"/>
      <c r="J57" s="73" t="s">
        <v>24</v>
      </c>
      <c r="K57" s="73"/>
      <c r="L57" s="40" t="str">
        <f>IF(L56=0, "", SUM(M46:M55)/L56)</f>
        <v/>
      </c>
      <c r="M57" s="15"/>
      <c r="N57" s="12"/>
      <c r="O57" s="12"/>
      <c r="P57" s="12"/>
    </row>
    <row r="58" spans="2:16" ht="15" thickBot="1">
      <c r="B58" s="13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2"/>
      <c r="O58" s="11"/>
      <c r="P58" s="12"/>
    </row>
    <row r="59" spans="2:16" ht="21.75" customHeight="1" thickBot="1">
      <c r="B59" s="81" t="s">
        <v>35</v>
      </c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36"/>
    </row>
    <row r="60" spans="2:16" ht="15" thickBot="1">
      <c r="B60" s="26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8"/>
      <c r="O60" s="11"/>
      <c r="P60" s="12"/>
    </row>
    <row r="61" spans="2:16">
      <c r="B61" s="13"/>
      <c r="C61" s="76" t="s">
        <v>36</v>
      </c>
      <c r="D61" s="77"/>
      <c r="E61" s="77"/>
      <c r="F61" s="77"/>
      <c r="G61" s="78"/>
      <c r="H61" s="14"/>
      <c r="I61" s="76" t="s">
        <v>37</v>
      </c>
      <c r="J61" s="77"/>
      <c r="K61" s="77"/>
      <c r="L61" s="77"/>
      <c r="M61" s="78"/>
      <c r="N61" s="29"/>
      <c r="O61" s="11"/>
      <c r="P61" s="12"/>
    </row>
    <row r="62" spans="2:16">
      <c r="B62" s="13"/>
      <c r="C62" s="23" t="s">
        <v>11</v>
      </c>
      <c r="D62" s="24" t="s">
        <v>12</v>
      </c>
      <c r="E62" s="24" t="s">
        <v>13</v>
      </c>
      <c r="F62" s="24" t="s">
        <v>14</v>
      </c>
      <c r="G62" s="25" t="s">
        <v>15</v>
      </c>
      <c r="H62" s="14"/>
      <c r="I62" s="23" t="s">
        <v>11</v>
      </c>
      <c r="J62" s="24" t="s">
        <v>12</v>
      </c>
      <c r="K62" s="24" t="s">
        <v>13</v>
      </c>
      <c r="L62" s="24" t="s">
        <v>14</v>
      </c>
      <c r="M62" s="25" t="s">
        <v>15</v>
      </c>
      <c r="N62" s="29"/>
      <c r="O62" s="11"/>
      <c r="P62" s="12"/>
    </row>
    <row r="63" spans="2:16">
      <c r="B63" s="13"/>
      <c r="C63" s="19"/>
      <c r="D63" s="1"/>
      <c r="E63" s="1"/>
      <c r="F63" s="2" t="str">
        <f>IF(E63="", "", VLOOKUP(E63, GradingTable!$A$2:$B$14, 2, FALSE))</f>
        <v/>
      </c>
      <c r="G63" s="20" t="str">
        <f t="shared" ref="G63:G71" si="6">IF(AND(ISNUMBER(D63),ISNUMBER(F63)),D63*F63,"")</f>
        <v/>
      </c>
      <c r="H63" s="15"/>
      <c r="I63" s="19"/>
      <c r="J63" s="1"/>
      <c r="K63" s="1"/>
      <c r="L63" s="2" t="str">
        <f>IF(K63="", "", VLOOKUP(K63, GradingTable!$A$2:$B$14, 2, FALSE))</f>
        <v/>
      </c>
      <c r="M63" s="20" t="str">
        <f t="shared" ref="M63:M71" si="7">IF(AND(ISNUMBER(J63),ISNUMBER(L63)),J63*L63,"")</f>
        <v/>
      </c>
      <c r="N63" s="29"/>
      <c r="O63" s="11"/>
      <c r="P63" s="12"/>
    </row>
    <row r="64" spans="2:16" ht="15" thickBot="1">
      <c r="B64" s="13"/>
      <c r="C64" s="19"/>
      <c r="D64" s="1"/>
      <c r="E64" s="1"/>
      <c r="F64" s="2" t="str">
        <f>IF(E64="", "", VLOOKUP(E64, GradingTable!$A$2:$B$14, 2, FALSE))</f>
        <v/>
      </c>
      <c r="G64" s="20" t="str">
        <f t="shared" si="6"/>
        <v/>
      </c>
      <c r="H64" s="15"/>
      <c r="I64" s="19"/>
      <c r="J64" s="1"/>
      <c r="K64" s="1"/>
      <c r="L64" s="2" t="str">
        <f>IF(K64="", "", VLOOKUP(K64, GradingTable!$A$2:$B$14, 2, FALSE))</f>
        <v/>
      </c>
      <c r="M64" s="20" t="str">
        <f t="shared" si="7"/>
        <v/>
      </c>
      <c r="N64" s="29"/>
      <c r="O64" s="11"/>
      <c r="P64" s="12"/>
    </row>
    <row r="65" spans="2:16">
      <c r="B65" s="13"/>
      <c r="C65" s="19"/>
      <c r="D65" s="1"/>
      <c r="E65" s="1"/>
      <c r="F65" s="2" t="str">
        <f>IF(E65="", "", VLOOKUP(E65, GradingTable!$A$2:$B$14, 2, FALSE))</f>
        <v/>
      </c>
      <c r="G65" s="20" t="str">
        <f t="shared" si="6"/>
        <v/>
      </c>
      <c r="H65" s="15"/>
      <c r="I65" s="19"/>
      <c r="J65" s="1"/>
      <c r="K65" s="1"/>
      <c r="L65" s="2" t="str">
        <f>IF(K65="", "", VLOOKUP(K65, GradingTable!$A$2:$B$14, 2, FALSE))</f>
        <v/>
      </c>
      <c r="M65" s="20" t="str">
        <f t="shared" si="7"/>
        <v/>
      </c>
      <c r="N65" s="29"/>
      <c r="O65" s="48" t="s">
        <v>38</v>
      </c>
      <c r="P65" s="12"/>
    </row>
    <row r="66" spans="2:16">
      <c r="B66" s="13"/>
      <c r="C66" s="19"/>
      <c r="D66" s="1"/>
      <c r="E66" s="1"/>
      <c r="F66" s="2" t="str">
        <f>IF(E66="", "", VLOOKUP(E66, GradingTable!$A$2:$B$14, 2, FALSE))</f>
        <v/>
      </c>
      <c r="G66" s="20" t="str">
        <f t="shared" si="6"/>
        <v/>
      </c>
      <c r="H66" s="15"/>
      <c r="I66" s="19"/>
      <c r="J66" s="1"/>
      <c r="K66" s="1"/>
      <c r="L66" s="2" t="str">
        <f>IF(K66="", "", VLOOKUP(K66, GradingTable!$A$2:$B$14, 2, FALSE))</f>
        <v/>
      </c>
      <c r="M66" s="20" t="str">
        <f t="shared" si="7"/>
        <v/>
      </c>
      <c r="N66" s="29"/>
      <c r="O66" s="47">
        <f>SUM(F73+L73)</f>
        <v>0</v>
      </c>
      <c r="P66" s="32"/>
    </row>
    <row r="67" spans="2:16" ht="15" thickBot="1">
      <c r="B67" s="13"/>
      <c r="C67" s="19"/>
      <c r="D67" s="1"/>
      <c r="E67" s="1"/>
      <c r="F67" s="2" t="str">
        <f>IF(E67="", "", VLOOKUP(E67, GradingTable!$A$2:$B$14, 2, FALSE))</f>
        <v/>
      </c>
      <c r="G67" s="20" t="str">
        <f t="shared" si="6"/>
        <v/>
      </c>
      <c r="H67" s="15"/>
      <c r="I67" s="19"/>
      <c r="J67" s="1"/>
      <c r="K67" s="1"/>
      <c r="L67" s="2" t="str">
        <f>IF(K67="", "", VLOOKUP(K67, GradingTable!$A$2:$B$14, 2, FALSE))</f>
        <v/>
      </c>
      <c r="M67" s="20" t="str">
        <f t="shared" si="7"/>
        <v/>
      </c>
      <c r="N67" s="29"/>
      <c r="O67" s="11"/>
      <c r="P67" s="33"/>
    </row>
    <row r="68" spans="2:16">
      <c r="B68" s="13"/>
      <c r="C68" s="19"/>
      <c r="D68" s="1"/>
      <c r="E68" s="1"/>
      <c r="F68" s="2" t="str">
        <f>IF(E68="", "", VLOOKUP(E68, GradingTable!$A$2:$B$14, 2, FALSE))</f>
        <v/>
      </c>
      <c r="G68" s="20" t="str">
        <f t="shared" si="6"/>
        <v/>
      </c>
      <c r="H68" s="15"/>
      <c r="I68" s="19"/>
      <c r="J68" s="1"/>
      <c r="K68" s="1"/>
      <c r="L68" s="2" t="str">
        <f>IF(K68="", "", VLOOKUP(K68, GradingTable!$A$2:$B$14, 2, FALSE))</f>
        <v/>
      </c>
      <c r="M68" s="20" t="str">
        <f t="shared" si="7"/>
        <v/>
      </c>
      <c r="N68" s="29"/>
      <c r="O68" s="48" t="s">
        <v>39</v>
      </c>
      <c r="P68" s="12"/>
    </row>
    <row r="69" spans="2:16">
      <c r="B69" s="13"/>
      <c r="C69" s="19"/>
      <c r="D69" s="1"/>
      <c r="E69" s="1"/>
      <c r="F69" s="2" t="str">
        <f>IF(E69="", "", VLOOKUP(E69, GradingTable!$A$2:$B$14, 2, FALSE))</f>
        <v/>
      </c>
      <c r="G69" s="20" t="str">
        <f t="shared" si="6"/>
        <v/>
      </c>
      <c r="H69" s="15"/>
      <c r="I69" s="19"/>
      <c r="J69" s="1"/>
      <c r="K69" s="1"/>
      <c r="L69" s="2" t="str">
        <f>IF(K69="", "", VLOOKUP(K69, GradingTable!$A$2:$B$14, 2, FALSE))</f>
        <v/>
      </c>
      <c r="M69" s="20" t="str">
        <f t="shared" si="7"/>
        <v/>
      </c>
      <c r="N69" s="29"/>
      <c r="O69" s="39">
        <f>IFERROR(
  (IF(ISNUMBER(F73*F74), F73*F74, 0) +
   IF(ISNUMBER(L73*L74), L73*L74, 0))
  /
  (IF(ISNUMBER(F73), F73, 0) +
   IF(ISNUMBER(L73), L73, 0)),
  0)</f>
        <v>0</v>
      </c>
      <c r="P69" s="12"/>
    </row>
    <row r="70" spans="2:16">
      <c r="B70" s="13"/>
      <c r="C70" s="19"/>
      <c r="D70" s="1"/>
      <c r="E70" s="1"/>
      <c r="F70" s="2" t="str">
        <f>IF(E70="", "", VLOOKUP(E70, GradingTable!$A$2:$B$14, 2, FALSE))</f>
        <v/>
      </c>
      <c r="G70" s="20" t="str">
        <f t="shared" si="6"/>
        <v/>
      </c>
      <c r="H70" s="15"/>
      <c r="I70" s="19"/>
      <c r="J70" s="1"/>
      <c r="K70" s="1"/>
      <c r="L70" s="2" t="str">
        <f>IF(K70="", "", VLOOKUP(K70, GradingTable!$A$2:$B$14, 2, FALSE))</f>
        <v/>
      </c>
      <c r="M70" s="20" t="str">
        <f t="shared" si="7"/>
        <v/>
      </c>
      <c r="N70" s="29"/>
      <c r="O70" s="11"/>
      <c r="P70" s="12"/>
    </row>
    <row r="71" spans="2:16" ht="15" thickBot="1">
      <c r="B71" s="13"/>
      <c r="C71" s="19"/>
      <c r="D71" s="1"/>
      <c r="E71" s="1"/>
      <c r="F71" s="21" t="str">
        <f>IF(E71="", "", VLOOKUP(E71, GradingTable!$A$2:$B$14, 2, FALSE))</f>
        <v/>
      </c>
      <c r="G71" s="22" t="str">
        <f t="shared" si="6"/>
        <v/>
      </c>
      <c r="H71" s="15"/>
      <c r="I71" s="19"/>
      <c r="J71" s="1"/>
      <c r="K71" s="1"/>
      <c r="L71" s="21" t="str">
        <f>IF(K71="", "", VLOOKUP(K71, GradingTable!$A$2:$B$14, 2, FALSE))</f>
        <v/>
      </c>
      <c r="M71" s="22" t="str">
        <f t="shared" si="7"/>
        <v/>
      </c>
      <c r="N71" s="29"/>
      <c r="O71" s="11"/>
      <c r="P71" s="12"/>
    </row>
    <row r="72" spans="2:16" ht="15" thickBot="1">
      <c r="B72" s="13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1"/>
      <c r="O72" s="12"/>
      <c r="P72" s="12"/>
    </row>
    <row r="73" spans="2:16">
      <c r="B73" s="13"/>
      <c r="C73" s="15"/>
      <c r="D73" s="79" t="s">
        <v>23</v>
      </c>
      <c r="E73" s="80"/>
      <c r="F73" s="34">
        <f>SUM(D63:D72)</f>
        <v>0</v>
      </c>
      <c r="G73" s="15"/>
      <c r="H73" s="15"/>
      <c r="I73" s="15"/>
      <c r="J73" s="79" t="s">
        <v>23</v>
      </c>
      <c r="K73" s="80"/>
      <c r="L73" s="34">
        <f>SUM(J63:J72)</f>
        <v>0</v>
      </c>
      <c r="M73" s="15"/>
      <c r="N73" s="11"/>
      <c r="O73" s="11"/>
      <c r="P73" s="12"/>
    </row>
    <row r="74" spans="2:16">
      <c r="B74" s="13"/>
      <c r="C74" s="15"/>
      <c r="D74" s="73" t="s">
        <v>24</v>
      </c>
      <c r="E74" s="73"/>
      <c r="F74" s="40" t="str">
        <f>IF(F73=0, "", SUM(G63:G72)/F73)</f>
        <v/>
      </c>
      <c r="G74" s="15"/>
      <c r="H74" s="15"/>
      <c r="I74" s="15"/>
      <c r="J74" s="73" t="s">
        <v>24</v>
      </c>
      <c r="K74" s="73"/>
      <c r="L74" s="40" t="str">
        <f>IF(L73=0, "", SUM(M63:M72)/L73)</f>
        <v/>
      </c>
      <c r="M74" s="15"/>
      <c r="N74" s="12"/>
      <c r="O74" s="12"/>
      <c r="P74" s="12"/>
    </row>
    <row r="75" spans="2:16" ht="15" thickBot="1">
      <c r="B75" s="30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31"/>
      <c r="O75" s="27"/>
      <c r="P75" s="31"/>
    </row>
    <row r="76" spans="2:16" s="3" customFormat="1" ht="21.75" customHeight="1" thickBot="1">
      <c r="B76" s="81" t="s">
        <v>40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36"/>
    </row>
    <row r="77" spans="2:16" s="3" customFormat="1" ht="15" thickBot="1">
      <c r="B77" s="26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8"/>
      <c r="O77" s="11"/>
      <c r="P77" s="12"/>
    </row>
    <row r="78" spans="2:16" s="3" customFormat="1">
      <c r="B78" s="13"/>
      <c r="C78" s="76" t="s">
        <v>41</v>
      </c>
      <c r="D78" s="77"/>
      <c r="E78" s="77"/>
      <c r="F78" s="77"/>
      <c r="G78" s="78"/>
      <c r="H78" s="14"/>
      <c r="I78" s="76" t="s">
        <v>42</v>
      </c>
      <c r="J78" s="77"/>
      <c r="K78" s="77"/>
      <c r="L78" s="77"/>
      <c r="M78" s="78"/>
      <c r="N78" s="29"/>
      <c r="O78" s="11"/>
      <c r="P78" s="12"/>
    </row>
    <row r="79" spans="2:16" s="3" customFormat="1">
      <c r="B79" s="13"/>
      <c r="C79" s="23" t="s">
        <v>11</v>
      </c>
      <c r="D79" s="24" t="s">
        <v>12</v>
      </c>
      <c r="E79" s="24" t="s">
        <v>13</v>
      </c>
      <c r="F79" s="24" t="s">
        <v>14</v>
      </c>
      <c r="G79" s="25" t="s">
        <v>15</v>
      </c>
      <c r="H79" s="14"/>
      <c r="I79" s="23" t="s">
        <v>11</v>
      </c>
      <c r="J79" s="24" t="s">
        <v>12</v>
      </c>
      <c r="K79" s="24" t="s">
        <v>13</v>
      </c>
      <c r="L79" s="24" t="s">
        <v>14</v>
      </c>
      <c r="M79" s="25" t="s">
        <v>15</v>
      </c>
      <c r="N79" s="29"/>
      <c r="O79" s="11"/>
      <c r="P79" s="12"/>
    </row>
    <row r="80" spans="2:16" s="3" customFormat="1">
      <c r="B80" s="13"/>
      <c r="C80" s="19"/>
      <c r="D80" s="1"/>
      <c r="E80" s="1"/>
      <c r="F80" s="2" t="str">
        <f>IF(E80="", "", VLOOKUP(E80, GradingTable!$A$2:$B$14, 2, FALSE))</f>
        <v/>
      </c>
      <c r="G80" s="20" t="str">
        <f t="shared" ref="G80:G88" si="8">IF(AND(ISNUMBER(D80),ISNUMBER(F80)),D80*F80,"")</f>
        <v/>
      </c>
      <c r="H80" s="15"/>
      <c r="I80" s="19"/>
      <c r="J80" s="1"/>
      <c r="K80" s="1"/>
      <c r="L80" s="2" t="str">
        <f>IF(K80="", "", VLOOKUP(K80, GradingTable!$A$2:$B$14, 2, FALSE))</f>
        <v/>
      </c>
      <c r="M80" s="20" t="str">
        <f t="shared" ref="M80:M88" si="9">IF(AND(ISNUMBER(J80),ISNUMBER(L80)),J80*L80,"")</f>
        <v/>
      </c>
      <c r="N80" s="29"/>
      <c r="O80" s="11"/>
      <c r="P80" s="12"/>
    </row>
    <row r="81" spans="2:16" s="3" customFormat="1" ht="15" thickBot="1">
      <c r="B81" s="13"/>
      <c r="C81" s="19"/>
      <c r="D81" s="1"/>
      <c r="E81" s="1"/>
      <c r="F81" s="2" t="str">
        <f>IF(E81="", "", VLOOKUP(E81, GradingTable!$A$2:$B$14, 2, FALSE))</f>
        <v/>
      </c>
      <c r="G81" s="20" t="str">
        <f t="shared" si="8"/>
        <v/>
      </c>
      <c r="H81" s="15"/>
      <c r="I81" s="19"/>
      <c r="J81" s="1"/>
      <c r="K81" s="1"/>
      <c r="L81" s="2" t="str">
        <f>IF(K81="", "", VLOOKUP(K81, GradingTable!$A$2:$B$14, 2, FALSE))</f>
        <v/>
      </c>
      <c r="M81" s="20" t="str">
        <f t="shared" si="9"/>
        <v/>
      </c>
      <c r="N81" s="29"/>
      <c r="O81" s="11"/>
      <c r="P81" s="12"/>
    </row>
    <row r="82" spans="2:16" s="3" customFormat="1">
      <c r="B82" s="13"/>
      <c r="C82" s="19"/>
      <c r="D82" s="1"/>
      <c r="E82" s="1"/>
      <c r="F82" s="2" t="str">
        <f>IF(E82="", "", VLOOKUP(E82, GradingTable!$A$2:$B$14, 2, FALSE))</f>
        <v/>
      </c>
      <c r="G82" s="20" t="str">
        <f t="shared" si="8"/>
        <v/>
      </c>
      <c r="H82" s="15"/>
      <c r="I82" s="19"/>
      <c r="J82" s="1"/>
      <c r="K82" s="1"/>
      <c r="L82" s="2" t="str">
        <f>IF(K82="", "", VLOOKUP(K82, GradingTable!$A$2:$B$14, 2, FALSE))</f>
        <v/>
      </c>
      <c r="M82" s="20" t="str">
        <f t="shared" si="9"/>
        <v/>
      </c>
      <c r="N82" s="29"/>
      <c r="O82" s="48" t="s">
        <v>43</v>
      </c>
      <c r="P82" s="12"/>
    </row>
    <row r="83" spans="2:16" s="3" customFormat="1">
      <c r="B83" s="13"/>
      <c r="C83" s="19"/>
      <c r="D83" s="1"/>
      <c r="E83" s="1"/>
      <c r="F83" s="2" t="str">
        <f>IF(E83="", "", VLOOKUP(E83, GradingTable!$A$2:$B$14, 2, FALSE))</f>
        <v/>
      </c>
      <c r="G83" s="20" t="str">
        <f t="shared" si="8"/>
        <v/>
      </c>
      <c r="H83" s="15"/>
      <c r="I83" s="19"/>
      <c r="J83" s="1"/>
      <c r="K83" s="1"/>
      <c r="L83" s="2" t="str">
        <f>IF(K83="", "", VLOOKUP(K83, GradingTable!$A$2:$B$14, 2, FALSE))</f>
        <v/>
      </c>
      <c r="M83" s="20" t="str">
        <f t="shared" si="9"/>
        <v/>
      </c>
      <c r="N83" s="29"/>
      <c r="O83" s="47">
        <f>SUM(F90+L90)</f>
        <v>0</v>
      </c>
      <c r="P83" s="32"/>
    </row>
    <row r="84" spans="2:16" s="3" customFormat="1" ht="15" thickBot="1">
      <c r="B84" s="13"/>
      <c r="C84" s="19"/>
      <c r="D84" s="1"/>
      <c r="E84" s="1"/>
      <c r="F84" s="2" t="str">
        <f>IF(E84="", "", VLOOKUP(E84, GradingTable!$A$2:$B$14, 2, FALSE))</f>
        <v/>
      </c>
      <c r="G84" s="20" t="str">
        <f t="shared" si="8"/>
        <v/>
      </c>
      <c r="H84" s="15"/>
      <c r="I84" s="19"/>
      <c r="J84" s="1"/>
      <c r="K84" s="1"/>
      <c r="L84" s="2" t="str">
        <f>IF(K84="", "", VLOOKUP(K84, GradingTable!$A$2:$B$14, 2, FALSE))</f>
        <v/>
      </c>
      <c r="M84" s="20" t="str">
        <f t="shared" si="9"/>
        <v/>
      </c>
      <c r="N84" s="29"/>
      <c r="O84" s="11"/>
      <c r="P84" s="33"/>
    </row>
    <row r="85" spans="2:16" s="3" customFormat="1">
      <c r="B85" s="13"/>
      <c r="C85" s="19"/>
      <c r="D85" s="1"/>
      <c r="E85" s="1"/>
      <c r="F85" s="2" t="str">
        <f>IF(E85="", "", VLOOKUP(E85, GradingTable!$A$2:$B$14, 2, FALSE))</f>
        <v/>
      </c>
      <c r="G85" s="20" t="str">
        <f t="shared" si="8"/>
        <v/>
      </c>
      <c r="H85" s="15"/>
      <c r="I85" s="19"/>
      <c r="J85" s="1"/>
      <c r="K85" s="1"/>
      <c r="L85" s="2" t="str">
        <f>IF(K85="", "", VLOOKUP(K85, GradingTable!$A$2:$B$14, 2, FALSE))</f>
        <v/>
      </c>
      <c r="M85" s="20" t="str">
        <f t="shared" si="9"/>
        <v/>
      </c>
      <c r="N85" s="29"/>
      <c r="O85" s="48" t="s">
        <v>44</v>
      </c>
      <c r="P85" s="12"/>
    </row>
    <row r="86" spans="2:16" s="3" customFormat="1">
      <c r="B86" s="13"/>
      <c r="C86" s="19"/>
      <c r="D86" s="1"/>
      <c r="E86" s="1"/>
      <c r="F86" s="2" t="str">
        <f>IF(E86="", "", VLOOKUP(E86, GradingTable!$A$2:$B$14, 2, FALSE))</f>
        <v/>
      </c>
      <c r="G86" s="20" t="str">
        <f t="shared" si="8"/>
        <v/>
      </c>
      <c r="H86" s="15"/>
      <c r="I86" s="19"/>
      <c r="J86" s="1"/>
      <c r="K86" s="1"/>
      <c r="L86" s="2" t="str">
        <f>IF(K86="", "", VLOOKUP(K86, GradingTable!$A$2:$B$14, 2, FALSE))</f>
        <v/>
      </c>
      <c r="M86" s="20" t="str">
        <f t="shared" si="9"/>
        <v/>
      </c>
      <c r="N86" s="29"/>
      <c r="O86" s="39">
        <f>IFERROR(
  (IF(ISNUMBER(F90*F91), F90*F91, 0) +
   IF(ISNUMBER(L90*L91), L90*L91, 0))
  /
  (IF(ISNUMBER(F90), F90, 0) +
   IF(ISNUMBER(L90), L90, 0)),
  0)</f>
        <v>0</v>
      </c>
      <c r="P86" s="12"/>
    </row>
    <row r="87" spans="2:16" s="3" customFormat="1">
      <c r="B87" s="13"/>
      <c r="C87" s="19"/>
      <c r="D87" s="1"/>
      <c r="E87" s="1"/>
      <c r="F87" s="2" t="str">
        <f>IF(E87="", "", VLOOKUP(E87, GradingTable!$A$2:$B$14, 2, FALSE))</f>
        <v/>
      </c>
      <c r="G87" s="20" t="str">
        <f t="shared" si="8"/>
        <v/>
      </c>
      <c r="H87" s="15"/>
      <c r="I87" s="19"/>
      <c r="J87" s="1"/>
      <c r="K87" s="1"/>
      <c r="L87" s="2" t="str">
        <f>IF(K87="", "", VLOOKUP(K87, GradingTable!$A$2:$B$14, 2, FALSE))</f>
        <v/>
      </c>
      <c r="M87" s="20" t="str">
        <f t="shared" si="9"/>
        <v/>
      </c>
      <c r="N87" s="29"/>
      <c r="O87" s="11"/>
      <c r="P87" s="12"/>
    </row>
    <row r="88" spans="2:16" s="3" customFormat="1" ht="15" thickBot="1">
      <c r="B88" s="13"/>
      <c r="C88" s="19"/>
      <c r="D88" s="1"/>
      <c r="E88" s="1"/>
      <c r="F88" s="21" t="str">
        <f>IF(E88="", "", VLOOKUP(E88, GradingTable!$A$2:$B$14, 2, FALSE))</f>
        <v/>
      </c>
      <c r="G88" s="22" t="str">
        <f t="shared" si="8"/>
        <v/>
      </c>
      <c r="H88" s="15"/>
      <c r="I88" s="19"/>
      <c r="J88" s="1"/>
      <c r="K88" s="1"/>
      <c r="L88" s="21" t="str">
        <f>IF(K88="", "", VLOOKUP(K88, GradingTable!$A$2:$B$14, 2, FALSE))</f>
        <v/>
      </c>
      <c r="M88" s="22" t="str">
        <f t="shared" si="9"/>
        <v/>
      </c>
      <c r="N88" s="29"/>
      <c r="O88" s="11"/>
      <c r="P88" s="12"/>
    </row>
    <row r="89" spans="2:16" s="3" customFormat="1" ht="15" thickBot="1">
      <c r="B89" s="13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1"/>
      <c r="O89" s="12"/>
      <c r="P89" s="12"/>
    </row>
    <row r="90" spans="2:16" s="3" customFormat="1">
      <c r="B90" s="13"/>
      <c r="C90" s="15"/>
      <c r="D90" s="79" t="s">
        <v>23</v>
      </c>
      <c r="E90" s="80"/>
      <c r="F90" s="34">
        <f>SUM(D80:D89)</f>
        <v>0</v>
      </c>
      <c r="G90" s="15"/>
      <c r="H90" s="15"/>
      <c r="I90" s="15"/>
      <c r="J90" s="79" t="s">
        <v>23</v>
      </c>
      <c r="K90" s="80"/>
      <c r="L90" s="34">
        <f>SUM(J80:J89)</f>
        <v>0</v>
      </c>
      <c r="M90" s="15"/>
      <c r="N90" s="11"/>
      <c r="O90" s="11"/>
      <c r="P90" s="12"/>
    </row>
    <row r="91" spans="2:16" s="3" customFormat="1">
      <c r="B91" s="13"/>
      <c r="C91" s="15"/>
      <c r="D91" s="73" t="s">
        <v>24</v>
      </c>
      <c r="E91" s="73"/>
      <c r="F91" s="40" t="str">
        <f>IF(F90=0, "", SUM(G80:G89)/F90)</f>
        <v/>
      </c>
      <c r="G91" s="15"/>
      <c r="H91" s="15"/>
      <c r="I91" s="15"/>
      <c r="J91" s="73" t="s">
        <v>24</v>
      </c>
      <c r="K91" s="73"/>
      <c r="L91" s="40" t="str">
        <f>IF(L90=0, "", SUM(M80:M89)/L90)</f>
        <v/>
      </c>
      <c r="M91" s="15"/>
      <c r="N91" s="12"/>
      <c r="O91" s="12"/>
      <c r="P91" s="12"/>
    </row>
    <row r="92" spans="2:16" s="3" customFormat="1" ht="15" thickBot="1">
      <c r="B92" s="30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31"/>
      <c r="O92" s="27"/>
      <c r="P92" s="31"/>
    </row>
    <row r="93" spans="2:16" s="3" customFormat="1"/>
    <row r="94" spans="2:16" s="3" customFormat="1"/>
    <row r="95" spans="2:16" s="3" customFormat="1"/>
    <row r="96" spans="2:1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/>
    <row r="122" s="3" customFormat="1"/>
    <row r="123" s="3" customFormat="1"/>
    <row r="124" s="3" customFormat="1"/>
    <row r="125" s="3" customFormat="1"/>
    <row r="126" s="3" customFormat="1"/>
    <row r="127" s="3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="3" customFormat="1"/>
    <row r="162" s="3" customFormat="1"/>
    <row r="163" s="3" customFormat="1"/>
    <row r="164" s="3" customFormat="1"/>
    <row r="165" s="3" customFormat="1"/>
    <row r="166" s="3" customFormat="1"/>
    <row r="167" s="3" customFormat="1"/>
    <row r="168" s="3" customFormat="1"/>
    <row r="169" s="3" customFormat="1"/>
    <row r="170" s="3" customFormat="1"/>
    <row r="171" s="3" customFormat="1"/>
    <row r="172" s="3" customFormat="1"/>
    <row r="173" s="3" customFormat="1"/>
    <row r="174" s="3" customFormat="1"/>
    <row r="175" s="3" customFormat="1"/>
    <row r="176" s="3" customFormat="1"/>
    <row r="177" s="3" customFormat="1"/>
    <row r="178" s="3" customFormat="1"/>
    <row r="179" s="3" customFormat="1"/>
    <row r="180" s="3" customFormat="1"/>
    <row r="181" s="3" customFormat="1"/>
    <row r="182" s="3" customFormat="1"/>
    <row r="183" s="3" customFormat="1"/>
    <row r="184" s="3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3" customFormat="1"/>
    <row r="193" s="3" customFormat="1"/>
    <row r="194" s="3" customFormat="1"/>
    <row r="195" s="3" customFormat="1"/>
    <row r="196" s="3" customFormat="1"/>
    <row r="197" s="3" customFormat="1"/>
    <row r="198" s="3" customFormat="1"/>
    <row r="199" s="3" customFormat="1"/>
    <row r="200" s="3" customFormat="1"/>
    <row r="201" s="3" customFormat="1"/>
    <row r="202" s="3" customFormat="1"/>
    <row r="203" s="3" customFormat="1"/>
    <row r="204" s="3" customFormat="1"/>
    <row r="205" s="3" customFormat="1"/>
    <row r="206" s="3" customFormat="1"/>
    <row r="207" s="3" customFormat="1"/>
    <row r="208" s="3" customFormat="1"/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3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3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3" customFormat="1"/>
    <row r="238" s="3" customFormat="1"/>
    <row r="239" s="3" customFormat="1"/>
    <row r="240" s="3" customFormat="1"/>
    <row r="241" s="3" customFormat="1"/>
    <row r="242" s="3" customFormat="1"/>
    <row r="243" s="3" customFormat="1"/>
    <row r="244" s="3" customFormat="1"/>
    <row r="245" s="3" customFormat="1"/>
    <row r="246" s="3" customFormat="1"/>
    <row r="247" s="3" customFormat="1"/>
    <row r="248" s="3" customFormat="1"/>
    <row r="249" s="3" customFormat="1"/>
    <row r="250" s="3" customFormat="1"/>
    <row r="251" s="3" customFormat="1"/>
    <row r="252" s="3" customFormat="1"/>
    <row r="253" s="3" customFormat="1"/>
    <row r="254" s="3" customFormat="1"/>
    <row r="255" s="3" customFormat="1"/>
    <row r="256" s="3" customFormat="1"/>
    <row r="257" s="3" customFormat="1"/>
    <row r="258" s="3" customFormat="1"/>
    <row r="259" s="3" customFormat="1"/>
    <row r="260" s="3" customFormat="1"/>
    <row r="261" s="3" customFormat="1"/>
    <row r="262" s="3" customFormat="1"/>
    <row r="263" s="3" customFormat="1"/>
    <row r="264" s="3" customFormat="1"/>
    <row r="265" s="3" customFormat="1"/>
    <row r="266" s="3" customFormat="1"/>
    <row r="267" s="3" customFormat="1"/>
    <row r="268" s="3" customFormat="1"/>
    <row r="269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6" s="3" customFormat="1"/>
    <row r="277" s="3" customFormat="1"/>
    <row r="278" s="3" customFormat="1"/>
    <row r="279" s="3" customFormat="1"/>
    <row r="280" s="3" customFormat="1"/>
    <row r="281" s="3" customFormat="1"/>
    <row r="282" s="3" customFormat="1"/>
    <row r="283" s="3" customFormat="1"/>
    <row r="284" s="3" customFormat="1"/>
    <row r="285" s="3" customFormat="1"/>
    <row r="286" s="3" customFormat="1"/>
    <row r="287" s="3" customFormat="1"/>
    <row r="288" s="3" customFormat="1"/>
    <row r="289" s="3" customFormat="1"/>
    <row r="290" s="3" customFormat="1"/>
    <row r="291" s="3" customFormat="1"/>
    <row r="292" s="3" customFormat="1"/>
    <row r="293" s="3" customFormat="1"/>
    <row r="294" s="3" customFormat="1"/>
    <row r="295" s="3" customFormat="1"/>
    <row r="296" s="3" customFormat="1"/>
    <row r="297" s="3" customFormat="1"/>
    <row r="298" s="3" customFormat="1"/>
    <row r="299" s="3" customFormat="1"/>
    <row r="300" s="3" customFormat="1"/>
    <row r="301" s="3" customFormat="1"/>
    <row r="302" s="3" customFormat="1"/>
    <row r="303" s="3" customFormat="1"/>
    <row r="304" s="3" customFormat="1"/>
    <row r="305" s="3" customFormat="1"/>
    <row r="306" s="3" customFormat="1"/>
    <row r="307" s="3" customFormat="1"/>
    <row r="308" s="3" customFormat="1"/>
    <row r="309" s="3" customFormat="1"/>
    <row r="310" s="3" customFormat="1"/>
    <row r="311" s="3" customFormat="1"/>
    <row r="312" s="3" customFormat="1"/>
    <row r="313" s="3" customFormat="1"/>
    <row r="314" s="3" customFormat="1"/>
    <row r="315" s="3" customFormat="1"/>
    <row r="316" s="3" customFormat="1"/>
    <row r="317" s="3" customFormat="1"/>
    <row r="318" s="3" customFormat="1"/>
    <row r="319" s="3" customFormat="1"/>
    <row r="320" s="3" customFormat="1"/>
  </sheetData>
  <sheetProtection algorithmName="SHA-512" hashValue="EDzpvheqkWV2cnx76Mx6j3KqUvz2Vel6dtlrEIK69jw547jUWWvymcIaiZPdw95J9r0kCufHAKGY0M0eCTNZPQ==" saltValue="yEWW/cwmmmdM58rsddY5Ww==" spinCount="100000" sheet="1" objects="1" scenarios="1"/>
  <mergeCells count="44">
    <mergeCell ref="D91:E91"/>
    <mergeCell ref="J91:K91"/>
    <mergeCell ref="B76:O76"/>
    <mergeCell ref="C78:G78"/>
    <mergeCell ref="I78:M78"/>
    <mergeCell ref="D90:E90"/>
    <mergeCell ref="J90:K90"/>
    <mergeCell ref="D73:E73"/>
    <mergeCell ref="J73:K73"/>
    <mergeCell ref="D74:E74"/>
    <mergeCell ref="J74:K74"/>
    <mergeCell ref="J23:K23"/>
    <mergeCell ref="B25:O25"/>
    <mergeCell ref="B42:O42"/>
    <mergeCell ref="B59:O59"/>
    <mergeCell ref="D39:E39"/>
    <mergeCell ref="J39:K39"/>
    <mergeCell ref="D40:E40"/>
    <mergeCell ref="J40:K40"/>
    <mergeCell ref="D56:E56"/>
    <mergeCell ref="J56:K56"/>
    <mergeCell ref="C44:G44"/>
    <mergeCell ref="I44:M44"/>
    <mergeCell ref="C61:G61"/>
    <mergeCell ref="I61:M61"/>
    <mergeCell ref="D57:E57"/>
    <mergeCell ref="J57:K57"/>
    <mergeCell ref="C5:C6"/>
    <mergeCell ref="D5:D6"/>
    <mergeCell ref="L5:L6"/>
    <mergeCell ref="B8:O8"/>
    <mergeCell ref="C10:G10"/>
    <mergeCell ref="I10:M10"/>
    <mergeCell ref="C27:G27"/>
    <mergeCell ref="I27:M27"/>
    <mergeCell ref="D22:E22"/>
    <mergeCell ref="D23:E23"/>
    <mergeCell ref="J22:K22"/>
    <mergeCell ref="F3:J3"/>
    <mergeCell ref="C3:D3"/>
    <mergeCell ref="F4:J4"/>
    <mergeCell ref="F5:J6"/>
    <mergeCell ref="L3:M3"/>
    <mergeCell ref="M5:M6"/>
  </mergeCells>
  <dataValidations count="1">
    <dataValidation type="list" allowBlank="1" showInputMessage="1" showErrorMessage="1" sqref="K46:K54 E46:E54 K63:K71 X12:X20 AD12:AD20 AJ12:AJ20 AP12:AP20 AV12:AV20 E29:E37 K12:K20 K29:K37 E12:E20 E80:E88 E63:E71 K80:K88" xr:uid="{25B765C9-EA86-4B40-96B6-C4999939BDD0}">
      <formula1>"A+,A,A-,B+,B,B-,C+,C,C-,D+,D,F"</formula1>
    </dataValidation>
  </dataValidations>
  <pageMargins left="0.75" right="0.75" top="1" bottom="1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13"/>
  <sheetViews>
    <sheetView workbookViewId="0"/>
  </sheetViews>
  <sheetFormatPr defaultRowHeight="14.4"/>
  <sheetData>
    <row r="1" spans="1:2">
      <c r="A1" t="s">
        <v>13</v>
      </c>
      <c r="B1" t="s">
        <v>14</v>
      </c>
    </row>
    <row r="2" spans="1:2">
      <c r="A2" t="s">
        <v>45</v>
      </c>
      <c r="B2">
        <v>4</v>
      </c>
    </row>
    <row r="3" spans="1:2">
      <c r="A3" t="s">
        <v>17</v>
      </c>
      <c r="B3">
        <v>4</v>
      </c>
    </row>
    <row r="4" spans="1:2">
      <c r="A4" t="s">
        <v>46</v>
      </c>
      <c r="B4">
        <v>3.7</v>
      </c>
    </row>
    <row r="5" spans="1:2">
      <c r="A5" t="s">
        <v>20</v>
      </c>
      <c r="B5">
        <v>3.3</v>
      </c>
    </row>
    <row r="6" spans="1:2">
      <c r="A6" t="s">
        <v>47</v>
      </c>
      <c r="B6">
        <v>3</v>
      </c>
    </row>
    <row r="7" spans="1:2">
      <c r="A7" t="s">
        <v>18</v>
      </c>
      <c r="B7">
        <v>2.7</v>
      </c>
    </row>
    <row r="8" spans="1:2">
      <c r="A8" t="s">
        <v>48</v>
      </c>
      <c r="B8">
        <v>2.2999999999999998</v>
      </c>
    </row>
    <row r="9" spans="1:2">
      <c r="A9" t="s">
        <v>49</v>
      </c>
      <c r="B9">
        <v>2</v>
      </c>
    </row>
    <row r="10" spans="1:2">
      <c r="A10" t="s">
        <v>50</v>
      </c>
      <c r="B10">
        <v>1.7</v>
      </c>
    </row>
    <row r="11" spans="1:2">
      <c r="A11" t="s">
        <v>51</v>
      </c>
      <c r="B11">
        <v>1.3</v>
      </c>
    </row>
    <row r="12" spans="1:2">
      <c r="A12" t="s">
        <v>52</v>
      </c>
      <c r="B12">
        <v>1</v>
      </c>
    </row>
    <row r="13" spans="1:2">
      <c r="A13" t="s">
        <v>53</v>
      </c>
      <c r="B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GPA Calculator &amp; Simulator (4Y)</vt:lpstr>
      <vt:lpstr>GPA Calculator &amp; Simulator (5Y)</vt:lpstr>
      <vt:lpstr>GradingTable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El-Sayed Massoud;ahmed.elsayed.97@hotmail.com;amasoud@aiu.edu.eg;https://www.linkedin.com/in/ahmedelsayed97/</dc:creator>
  <cp:keywords/>
  <dc:description/>
  <cp:lastModifiedBy>Mohamed  Mostafa Mohamed</cp:lastModifiedBy>
  <cp:revision/>
  <dcterms:created xsi:type="dcterms:W3CDTF">2025-07-04T09:08:38Z</dcterms:created>
  <dcterms:modified xsi:type="dcterms:W3CDTF">2025-09-01T21:00:45Z</dcterms:modified>
  <cp:category/>
  <cp:contentStatus/>
</cp:coreProperties>
</file>